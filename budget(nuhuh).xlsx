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A607ADC-BCD2-4296-B211-CB75CBAB7DE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" i="1" l="1"/>
  <c r="Z14" i="1"/>
  <c r="Z15" i="1"/>
  <c r="Z16" i="1"/>
  <c r="Z17" i="1"/>
  <c r="Z18" i="1"/>
  <c r="Z19" i="1"/>
  <c r="Z20" i="1"/>
  <c r="Z21" i="1"/>
  <c r="Z22" i="1"/>
  <c r="Z25" i="1" s="1"/>
  <c r="Z23" i="1"/>
  <c r="Z24" i="1"/>
  <c r="Z26" i="1" s="1"/>
  <c r="U25" i="1"/>
  <c r="O25" i="1"/>
  <c r="N25" i="1"/>
  <c r="M25" i="1"/>
  <c r="G25" i="1"/>
  <c r="B25" i="1"/>
  <c r="X26" i="1"/>
  <c r="Y26" i="1"/>
  <c r="B26" i="1"/>
  <c r="C7" i="1" a="1"/>
  <c r="B7" i="1" a="1"/>
  <c r="B6" i="1" a="1"/>
  <c r="B5" i="1" a="1"/>
  <c r="C7" i="1" l="1"/>
  <c r="B7" i="1"/>
  <c r="B6" i="1"/>
  <c r="B5" i="1"/>
  <c r="I22" i="1" l="1"/>
  <c r="I23" i="1"/>
  <c r="I24" i="1"/>
  <c r="U26" i="1"/>
  <c r="O26" i="1"/>
  <c r="T26" i="1" l="1"/>
  <c r="S26" i="1"/>
  <c r="N26" i="1"/>
  <c r="M26" i="1"/>
  <c r="G26" i="1"/>
  <c r="A2" i="1" a="1"/>
  <c r="A2" i="1" s="1"/>
  <c r="L13" i="1" s="1"/>
  <c r="H14" i="1" a="1"/>
  <c r="D7" i="1" l="1"/>
  <c r="H14" i="1"/>
  <c r="L14" i="1"/>
  <c r="L18" i="1"/>
  <c r="L15" i="1"/>
  <c r="L17" i="1"/>
  <c r="L16" i="1"/>
  <c r="R14" i="1"/>
  <c r="R15" i="1"/>
  <c r="R16" i="1"/>
  <c r="R17" i="1"/>
  <c r="R13" i="1"/>
  <c r="B9" i="1"/>
  <c r="H13" i="1" a="1"/>
  <c r="C17" i="1" a="1"/>
  <c r="C15" i="1" a="1"/>
  <c r="C16" i="1" a="1"/>
  <c r="H13" i="1" l="1"/>
  <c r="H15" i="1" a="1"/>
  <c r="C24" i="1" a="1"/>
  <c r="H20" i="1" a="1"/>
  <c r="C19" i="1" a="1"/>
  <c r="H16" i="1" a="1"/>
  <c r="C18" i="1" a="1"/>
  <c r="H17" i="1" a="1"/>
  <c r="C13" i="1" a="1"/>
  <c r="H18" i="1" a="1"/>
  <c r="C21" i="1" a="1"/>
  <c r="H19" i="1" a="1"/>
  <c r="C23" i="1" a="1"/>
  <c r="I13" i="1" l="1"/>
  <c r="H19" i="1"/>
  <c r="I19" i="1" s="1"/>
  <c r="H18" i="1"/>
  <c r="I18" i="1" s="1"/>
  <c r="H17" i="1"/>
  <c r="I17" i="1" s="1"/>
  <c r="H16" i="1"/>
  <c r="I16" i="1" s="1"/>
  <c r="H20" i="1"/>
  <c r="I20" i="1" s="1"/>
  <c r="H15" i="1"/>
  <c r="I15" i="1" s="1"/>
  <c r="I14" i="1"/>
  <c r="C23" i="1"/>
  <c r="D23" i="1" s="1"/>
  <c r="C21" i="1"/>
  <c r="D21" i="1" s="1"/>
  <c r="C13" i="1"/>
  <c r="C18" i="1"/>
  <c r="D18" i="1" s="1"/>
  <c r="C19" i="1"/>
  <c r="D19" i="1" s="1"/>
  <c r="C24" i="1"/>
  <c r="D24" i="1" s="1"/>
  <c r="C16" i="1"/>
  <c r="D16" i="1" s="1"/>
  <c r="C15" i="1"/>
  <c r="D15" i="1" s="1"/>
  <c r="C17" i="1"/>
  <c r="D17" i="1" s="1"/>
  <c r="H21" i="1" a="1"/>
  <c r="C20" i="1" a="1"/>
  <c r="C22" i="1" a="1"/>
  <c r="C14" i="1" a="1"/>
  <c r="H25" i="1" l="1"/>
  <c r="H21" i="1"/>
  <c r="I21" i="1" s="1"/>
  <c r="I25" i="1" s="1"/>
  <c r="C14" i="1"/>
  <c r="D14" i="1" s="1"/>
  <c r="C22" i="1"/>
  <c r="D22" i="1" s="1"/>
  <c r="C20" i="1"/>
  <c r="D20" i="1" s="1"/>
  <c r="C26" i="1"/>
  <c r="D13" i="1"/>
  <c r="I26" i="1"/>
  <c r="H26" i="1"/>
  <c r="C6" i="1" a="1"/>
  <c r="C6" i="1" l="1"/>
  <c r="D6" i="1" s="1"/>
  <c r="C25" i="1"/>
  <c r="D26" i="1"/>
  <c r="D25" i="1"/>
  <c r="C5" i="1" a="1"/>
  <c r="C5" i="1" l="1"/>
  <c r="D5" i="1" l="1"/>
  <c r="D9" i="1" s="1"/>
  <c r="C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<sst xmlns="http://schemas.openxmlformats.org/spreadsheetml/2006/main" count="74" uniqueCount="44">
  <si>
    <t>Netflix</t>
  </si>
  <si>
    <t>Spotify</t>
  </si>
  <si>
    <t>Income</t>
  </si>
  <si>
    <t>Source</t>
  </si>
  <si>
    <t>Planned</t>
  </si>
  <si>
    <t>Actual</t>
  </si>
  <si>
    <t>Scholarship</t>
  </si>
  <si>
    <t>Allowance</t>
  </si>
  <si>
    <t>Expenses</t>
  </si>
  <si>
    <t>Bills</t>
  </si>
  <si>
    <t>Rent</t>
  </si>
  <si>
    <t>Water</t>
  </si>
  <si>
    <t>Gas</t>
  </si>
  <si>
    <t>Electricity</t>
  </si>
  <si>
    <t>Internet</t>
  </si>
  <si>
    <t>Subscriptions</t>
  </si>
  <si>
    <t>Savings</t>
  </si>
  <si>
    <t>Laptop</t>
  </si>
  <si>
    <t>Summer holidays</t>
  </si>
  <si>
    <t>Due</t>
  </si>
  <si>
    <t>Total</t>
  </si>
  <si>
    <t>Month</t>
  </si>
  <si>
    <t>Left</t>
  </si>
  <si>
    <t>Balance</t>
  </si>
  <si>
    <t>Waste</t>
  </si>
  <si>
    <t>Accomodation</t>
  </si>
  <si>
    <t>Clothing</t>
  </si>
  <si>
    <t>Entertainment</t>
  </si>
  <si>
    <t>Groceries</t>
  </si>
  <si>
    <t>Health&amp;Beauty</t>
  </si>
  <si>
    <t>Multimedia</t>
  </si>
  <si>
    <t>Other expences</t>
  </si>
  <si>
    <t>Studies</t>
  </si>
  <si>
    <t>Transportation</t>
  </si>
  <si>
    <t>Bookbeat</t>
  </si>
  <si>
    <t>ChatGPT</t>
  </si>
  <si>
    <t>Duolingo</t>
  </si>
  <si>
    <t>Financial</t>
  </si>
  <si>
    <t>Gift</t>
  </si>
  <si>
    <t>Other incoms</t>
  </si>
  <si>
    <t>Salary</t>
  </si>
  <si>
    <t>Category</t>
  </si>
  <si>
    <t>Rainy Day</t>
  </si>
  <si>
    <t>Incomes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</si>
</sst>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zł&quot;_-;\-* #,##0.00\ &quot;zł&quot;_-;_-* &quot;-&quot;??\ &quot;zł&quot;_-;_-@_-"/>
    <numFmt numFmtId="164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2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38"/>
      <scheme val="minor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charset val="238"/>
      <scheme val="minor"/>
    </font>
    <font>
      <sz val="18"/>
      <color theme="1"/>
      <name val="Arial Black"/>
      <family val="2"/>
      <charset val="238"/>
    </font>
    <font>
      <sz val="18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8"/>
      <color rgb="FFFF0000"/>
      <name val="Calibri"/>
      <family val="2"/>
      <charset val="238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6">
    <xf numFmtId="0" fontId="0" fillId="0" borderId="0"/>
    <xf numFmtId="44" fontId="4" fillId="0" borderId="0" applyFont="0" applyFill="0" applyBorder="0" applyAlignment="0" applyProtection="0"/>
    <xf numFmtId="0" fontId="5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5" fillId="8" borderId="0" applyNumberFormat="0" applyBorder="0" applyAlignment="0" applyProtection="0"/>
    <xf numFmtId="0" fontId="1" fillId="9" borderId="0" applyNumberFormat="0" applyBorder="0" applyAlignment="0" applyProtection="0"/>
    <xf numFmtId="0" fontId="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6" fillId="22" borderId="1" xfId="0" applyFont="1" applyFill="1" applyBorder="1"/>
    <xf numFmtId="0" fontId="8" fillId="0" borderId="0" xfId="0" applyFont="1"/>
    <xf numFmtId="0" fontId="7" fillId="5" borderId="1" xfId="5" applyFont="1" applyBorder="1" applyAlignment="1">
      <alignment horizontal="center"/>
    </xf>
    <xf numFmtId="0" fontId="9" fillId="0" borderId="0" xfId="0" applyFont="1"/>
    <xf numFmtId="0" fontId="7" fillId="14" borderId="1" xfId="13" applyFont="1" applyBorder="1" applyAlignment="1">
      <alignment horizontal="center"/>
    </xf>
    <xf numFmtId="0" fontId="7" fillId="11" borderId="1" xfId="10" applyFont="1" applyBorder="1" applyAlignment="1">
      <alignment horizontal="center"/>
    </xf>
    <xf numFmtId="44" fontId="9" fillId="9" borderId="1" xfId="1" applyFont="1" applyFill="1" applyBorder="1"/>
    <xf numFmtId="44" fontId="9" fillId="9" borderId="5" xfId="1" applyFont="1" applyFill="1" applyBorder="1"/>
    <xf numFmtId="44" fontId="9" fillId="6" borderId="5" xfId="1" applyFont="1" applyFill="1" applyBorder="1"/>
    <xf numFmtId="44" fontId="9" fillId="15" borderId="5" xfId="1" applyFont="1" applyFill="1" applyBorder="1"/>
    <xf numFmtId="44" fontId="9" fillId="3" borderId="5" xfId="1" applyFont="1" applyFill="1" applyBorder="1"/>
    <xf numFmtId="44" fontId="9" fillId="12" borderId="5" xfId="1" applyFont="1" applyFill="1" applyBorder="1"/>
    <xf numFmtId="0" fontId="7" fillId="8" borderId="1" xfId="8" applyFont="1" applyBorder="1" applyAlignment="1">
      <alignment horizontal="center"/>
    </xf>
    <xf numFmtId="0" fontId="7" fillId="2" borderId="1" xfId="2" applyFont="1" applyBorder="1" applyAlignment="1">
      <alignment horizontal="center"/>
    </xf>
    <xf numFmtId="44" fontId="10" fillId="19" borderId="1" xfId="0" applyNumberFormat="1" applyFont="1" applyFill="1" applyBorder="1"/>
    <xf numFmtId="44" fontId="6" fillId="19" borderId="1" xfId="1" applyFont="1" applyFill="1" applyBorder="1"/>
    <xf numFmtId="164" fontId="6" fillId="19" borderId="1" xfId="0" applyNumberFormat="1" applyFont="1" applyFill="1" applyBorder="1"/>
    <xf numFmtId="0" fontId="7" fillId="2" borderId="0" xfId="2" applyFont="1" applyAlignment="1">
      <alignment horizontal="center"/>
    </xf>
    <xf numFmtId="0" fontId="7" fillId="11" borderId="1" xfId="10" applyFont="1" applyBorder="1" applyAlignment="1">
      <alignment horizontal="center"/>
    </xf>
    <xf numFmtId="0" fontId="7" fillId="11" borderId="2" xfId="10" applyFont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/>
    </xf>
    <xf numFmtId="0" fontId="7" fillId="8" borderId="2" xfId="8" applyFont="1" applyBorder="1" applyAlignment="1">
      <alignment horizontal="center"/>
    </xf>
    <xf numFmtId="0" fontId="7" fillId="8" borderId="6" xfId="8" applyFont="1" applyBorder="1" applyAlignment="1">
      <alignment horizontal="center"/>
    </xf>
    <xf numFmtId="0" fontId="7" fillId="5" borderId="1" xfId="5" applyFont="1" applyBorder="1" applyAlignment="1">
      <alignment horizontal="center"/>
    </xf>
    <xf numFmtId="0" fontId="7" fillId="5" borderId="2" xfId="5" applyFont="1" applyBorder="1" applyAlignment="1">
      <alignment horizontal="center"/>
    </xf>
    <xf numFmtId="0" fontId="7" fillId="14" borderId="1" xfId="13" applyFont="1" applyBorder="1" applyAlignment="1">
      <alignment horizontal="center"/>
    </xf>
    <xf numFmtId="0" fontId="7" fillId="14" borderId="2" xfId="13" applyFont="1" applyBorder="1" applyAlignment="1">
      <alignment horizontal="center"/>
    </xf>
    <xf numFmtId="44" fontId="9" fillId="17" borderId="1" xfId="0" applyNumberFormat="1" applyFont="1" applyFill="1" applyBorder="1"/>
    <xf numFmtId="14" fontId="11" fillId="15" borderId="5" xfId="14" applyNumberFormat="1" applyFont="1" applyBorder="1"/>
    <xf numFmtId="14" fontId="9" fillId="15" borderId="5" xfId="14" applyNumberFormat="1" applyFont="1" applyBorder="1"/>
    <xf numFmtId="14" fontId="11" fillId="3" borderId="5" xfId="3" applyNumberFormat="1" applyFont="1" applyBorder="1"/>
    <xf numFmtId="14" fontId="9" fillId="3" borderId="5" xfId="3" applyNumberFormat="1" applyFont="1" applyBorder="1"/>
    <xf numFmtId="0" fontId="9" fillId="9" borderId="7" xfId="9" applyFont="1" applyBorder="1"/>
    <xf numFmtId="0" fontId="9" fillId="10" borderId="0" xfId="0" applyFont="1" applyFill="1" applyBorder="1"/>
    <xf numFmtId="0" fontId="9" fillId="10" borderId="8" xfId="0" applyFont="1" applyFill="1" applyBorder="1"/>
    <xf numFmtId="0" fontId="9" fillId="9" borderId="1" xfId="9" applyFont="1" applyBorder="1"/>
    <xf numFmtId="0" fontId="9" fillId="9" borderId="1" xfId="0" applyFont="1" applyFill="1" applyBorder="1"/>
    <xf numFmtId="0" fontId="9" fillId="17" borderId="1" xfId="0" applyFont="1" applyFill="1" applyBorder="1"/>
    <xf numFmtId="0" fontId="9" fillId="6" borderId="7" xfId="6" applyFont="1" applyBorder="1"/>
    <xf numFmtId="0" fontId="9" fillId="7" borderId="0" xfId="7" applyFont="1" applyBorder="1"/>
    <xf numFmtId="0" fontId="9" fillId="7" borderId="8" xfId="7" applyFont="1" applyBorder="1"/>
    <xf numFmtId="0" fontId="9" fillId="18" borderId="4" xfId="0" applyFont="1" applyFill="1" applyBorder="1"/>
    <xf numFmtId="44" fontId="9" fillId="18" borderId="4" xfId="0" applyNumberFormat="1" applyFont="1" applyFill="1" applyBorder="1"/>
    <xf numFmtId="44" fontId="9" fillId="18" borderId="3" xfId="0" applyNumberFormat="1" applyFont="1" applyFill="1" applyBorder="1"/>
    <xf numFmtId="0" fontId="9" fillId="6" borderId="0" xfId="0" applyFont="1" applyFill="1" applyBorder="1"/>
    <xf numFmtId="44" fontId="9" fillId="18" borderId="8" xfId="0" applyNumberFormat="1" applyFont="1" applyFill="1" applyBorder="1"/>
    <xf numFmtId="0" fontId="9" fillId="15" borderId="7" xfId="14" applyFont="1" applyBorder="1"/>
    <xf numFmtId="0" fontId="9" fillId="16" borderId="0" xfId="15" applyFont="1" applyBorder="1"/>
    <xf numFmtId="0" fontId="9" fillId="16" borderId="8" xfId="15" applyFont="1" applyBorder="1"/>
    <xf numFmtId="0" fontId="9" fillId="15" borderId="0" xfId="0" applyFont="1" applyFill="1" applyBorder="1"/>
    <xf numFmtId="0" fontId="9" fillId="15" borderId="8" xfId="0" applyFont="1" applyFill="1" applyBorder="1"/>
    <xf numFmtId="44" fontId="9" fillId="19" borderId="8" xfId="0" applyNumberFormat="1" applyFont="1" applyFill="1" applyBorder="1"/>
    <xf numFmtId="0" fontId="9" fillId="3" borderId="7" xfId="3" applyFont="1" applyBorder="1"/>
    <xf numFmtId="0" fontId="9" fillId="4" borderId="0" xfId="4" applyFont="1" applyBorder="1"/>
    <xf numFmtId="14" fontId="9" fillId="4" borderId="8" xfId="4" applyNumberFormat="1" applyFont="1" applyBorder="1"/>
    <xf numFmtId="0" fontId="9" fillId="4" borderId="8" xfId="4" applyFont="1" applyBorder="1"/>
    <xf numFmtId="0" fontId="9" fillId="20" borderId="4" xfId="0" applyFont="1" applyFill="1" applyBorder="1"/>
    <xf numFmtId="44" fontId="9" fillId="20" borderId="4" xfId="0" applyNumberFormat="1" applyFont="1" applyFill="1" applyBorder="1"/>
    <xf numFmtId="44" fontId="9" fillId="20" borderId="3" xfId="0" applyNumberFormat="1" applyFont="1" applyFill="1" applyBorder="1"/>
    <xf numFmtId="0" fontId="9" fillId="3" borderId="0" xfId="0" applyFont="1" applyFill="1" applyBorder="1"/>
    <xf numFmtId="0" fontId="9" fillId="3" borderId="8" xfId="0" applyFont="1" applyFill="1" applyBorder="1"/>
    <xf numFmtId="0" fontId="9" fillId="20" borderId="8" xfId="0" applyNumberFormat="1" applyFont="1" applyFill="1" applyBorder="1"/>
    <xf numFmtId="0" fontId="9" fillId="12" borderId="7" xfId="11" applyFont="1" applyBorder="1"/>
    <xf numFmtId="0" fontId="9" fillId="13" borderId="0" xfId="12" applyFont="1" applyBorder="1"/>
    <xf numFmtId="0" fontId="9" fillId="13" borderId="8" xfId="12" applyFont="1" applyBorder="1"/>
    <xf numFmtId="0" fontId="9" fillId="21" borderId="4" xfId="0" applyFont="1" applyFill="1" applyBorder="1"/>
    <xf numFmtId="44" fontId="9" fillId="21" borderId="4" xfId="0" applyNumberFormat="1" applyFont="1" applyFill="1" applyBorder="1"/>
    <xf numFmtId="44" fontId="9" fillId="21" borderId="3" xfId="0" applyNumberFormat="1" applyFont="1" applyFill="1" applyBorder="1"/>
    <xf numFmtId="0" fontId="9" fillId="12" borderId="0" xfId="0" applyFont="1" applyFill="1" applyBorder="1"/>
    <xf numFmtId="0" fontId="9" fillId="21" borderId="8" xfId="0" applyNumberFormat="1" applyFont="1" applyFill="1" applyBorder="1"/>
    <xf numFmtId="0" fontId="9" fillId="19" borderId="4" xfId="0" applyFont="1" applyFill="1" applyBorder="1"/>
    <xf numFmtId="44" fontId="9" fillId="19" borderId="4" xfId="0" applyNumberFormat="1" applyFont="1" applyFill="1" applyBorder="1"/>
    <xf numFmtId="44" fontId="9" fillId="19" borderId="3" xfId="0" applyNumberFormat="1" applyFont="1" applyFill="1" applyBorder="1"/>
  </cellXfs>
  <cellStyles count="16">
    <cellStyle name="20% - Accent3" xfId="9" builtinId="38"/>
    <cellStyle name="40% - Accent1" xfId="3" builtinId="31"/>
    <cellStyle name="40% - Accent2" xfId="6" builtinId="35"/>
    <cellStyle name="40% - Accent4" xfId="11" builtinId="43"/>
    <cellStyle name="40% - Accent6" xfId="14" builtinId="51"/>
    <cellStyle name="60% - Accent1" xfId="4" builtinId="32"/>
    <cellStyle name="60% - Accent2" xfId="7" builtinId="36"/>
    <cellStyle name="60% - Accent4" xfId="12" builtinId="44"/>
    <cellStyle name="60% - Accent6" xfId="15" builtinId="52"/>
    <cellStyle name="Accent1" xfId="2" builtinId="29"/>
    <cellStyle name="Accent2" xfId="5" builtinId="33"/>
    <cellStyle name="Accent3" xfId="8" builtinId="37"/>
    <cellStyle name="Accent4" xfId="10" builtinId="41"/>
    <cellStyle name="Accent6" xfId="13" builtinId="49"/>
    <cellStyle name="Currency" xfId="1" builtinId="4"/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34" formatCode="_-* #,##0.00\ &quot;zł&quot;_-;\-* #,##0.00\ &quot;zł&quot;_-;_-* &quot;-&quot;??\ &quot;zł&quot;_-;_-@_-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34" formatCode="_-* #,##0.00\ &quot;zł&quot;_-;\-* #,##0.00\ &quot;zł&quot;_-;_-* &quot;-&quot;??\ &quot;zł&quot;_-;_-@_-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34" formatCode="_-* #,##0.00\ &quot;zł&quot;_-;\-* #,##0.00\ &quot;zł&quot;_-;_-* &quot;-&quot;??\ &quot;zł&quot;_-;_-@_-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34" formatCode="_-* #,##0.00\ &quot;zł&quot;_-;\-* #,##0.00\ &quot;zł&quot;_-;_-* &quot;-&quot;??\ &quot;zł&quot;_-;_-@_-"/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7" tint="0.5999938962981048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0" formatCode="General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numFmt numFmtId="0" formatCode="General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5" tint="0.59999389629810485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6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238"/>
        <scheme val="minor"/>
      </font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Blank" defaultPivotStyle="PivotStyleLight16">
    <tableStyle name="TableBlank" pivot="0" count="0" xr9:uid="{04708B73-FD9C-491C-8413-5EB7FF1EC4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'1'!$B$4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'1'!$A$5:$A$7</c:f>
              <c:strCache>
                <c:ptCount val="3"/>
                <c:pt idx="0">
                  <c:v>Incomes</c:v>
                </c:pt>
                <c:pt idx="1">
                  <c:v>Expenses</c:v>
                </c:pt>
                <c:pt idx="2">
                  <c:v>Savings</c:v>
                </c:pt>
              </c:strCache>
            </c:strRef>
          </c:cat>
          <c:val>
            <c:numRef>
              <c:f>'1'!$B$5:$B$7</c:f>
              <c:numCache>
                <c:formatCode>_("zł"* #,##0.00_);_("zł"* \(#,##0.00\);_("zł"* "-"??_);_(@_)</c:formatCode>
                <c:ptCount val="3"/>
                <c:pt idx="0">
                  <c:v>5700</c:v>
                </c:pt>
                <c:pt idx="1">
                  <c:v>3795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7-465D-8450-25CAD56060A5}"/>
            </c:ext>
          </c:extLst>
        </c:ser>
        <c:ser>
          <c:idx val="1"/>
          <c:order val="1"/>
          <c:tx>
            <c:strRef>
              <c:f>'1'!$C$4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'1'!$A$5:$A$7</c:f>
              <c:strCache>
                <c:ptCount val="3"/>
                <c:pt idx="0">
                  <c:v>Incomes</c:v>
                </c:pt>
                <c:pt idx="1">
                  <c:v>Expenses</c:v>
                </c:pt>
                <c:pt idx="2">
                  <c:v>Savings</c:v>
                </c:pt>
              </c:strCache>
            </c:strRef>
          </c:cat>
          <c:val>
            <c:numRef>
              <c:f>'1'!$C$5:$C$7</c:f>
              <c:numCache>
                <c:formatCode>_("zł"* #,##0.00_);_("zł"* \(#,##0.00\);_("zł"*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A7-465D-8450-25CAD56060A5}"/>
            </c:ext>
          </c:extLst>
        </c:ser>
        <c:ser>
          <c:idx val="2"/>
          <c:order val="2"/>
          <c:tx>
            <c:strRef>
              <c:f>'1'!$D$4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'1'!$A$5:$A$7</c:f>
              <c:strCache>
                <c:ptCount val="3"/>
                <c:pt idx="0">
                  <c:v>Incomes</c:v>
                </c:pt>
                <c:pt idx="1">
                  <c:v>Expenses</c:v>
                </c:pt>
                <c:pt idx="2">
                  <c:v>Savings</c:v>
                </c:pt>
              </c:strCache>
            </c:strRef>
          </c:cat>
          <c:val>
            <c:numRef>
              <c:f>'1'!$D$5:$D$7</c:f>
              <c:numCache>
                <c:formatCode>_("zł"* #,##0.00_);_("zł"* \(#,##0.00\);_("zł"*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A7-465D-8450-25CAD5606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028111"/>
        <c:axId val="497025711"/>
      </c:barChart>
      <c:catAx>
        <c:axId val="49702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7025711"/>
        <c:crosses val="autoZero"/>
        <c:auto val="1"/>
        <c:lblAlgn val="ctr"/>
        <c:lblOffset val="100"/>
        <c:noMultiLvlLbl val="0"/>
      </c:catAx>
      <c:valAx>
        <c:axId val="49702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zł&quot;* #,##0.00_);_(&quot;zł&quot;* \(#,##0.00\);_(&quot;zł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702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Income</a:t>
            </a:r>
            <a:r>
              <a:rPr lang="pl-PL" baseline="0"/>
              <a:t> structure</a:t>
            </a:r>
          </a:p>
          <a:p>
            <a:pPr>
              <a:defRPr/>
            </a:pPr>
            <a:endParaRPr lang="pl-PL"/>
          </a:p>
        </c:rich>
      </c:tx>
      <c:layout>
        <c:manualLayout>
          <c:xMode val="edge"/>
          <c:yMode val="edge"/>
          <c:x val="1.7559498185909083E-2"/>
          <c:y val="7.447302273391639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'1'!$B$12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8AA-400E-A749-83A26F8F1783}"/>
              </c:ext>
            </c:extLst>
          </c:dPt>
          <c:dPt>
            <c:idx val="1"/>
            <c:bubble3D val="0"/>
            <c:spPr>
              <a:solidFill>
                <a:schemeClr val="accent3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8AA-400E-A749-83A26F8F1783}"/>
              </c:ext>
            </c:extLst>
          </c:dPt>
          <c:dPt>
            <c:idx val="2"/>
            <c:bubble3D val="0"/>
            <c:spPr>
              <a:solidFill>
                <a:schemeClr val="accent3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8AA-400E-A749-83A26F8F1783}"/>
              </c:ext>
            </c:extLst>
          </c:dPt>
          <c:dPt>
            <c:idx val="3"/>
            <c:bubble3D val="0"/>
            <c:spPr>
              <a:solidFill>
                <a:schemeClr val="accent3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8AA-400E-A749-83A26F8F1783}"/>
              </c:ext>
            </c:extLst>
          </c:dPt>
          <c:dPt>
            <c:idx val="4"/>
            <c:bubble3D val="0"/>
            <c:spPr>
              <a:solidFill>
                <a:schemeClr val="accent3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8AA-400E-A749-83A26F8F1783}"/>
              </c:ext>
            </c:extLst>
          </c:dPt>
          <c:dPt>
            <c:idx val="5"/>
            <c:bubble3D val="0"/>
            <c:spPr>
              <a:solidFill>
                <a:schemeClr val="accent3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AA-400E-A749-83A26F8F1783}"/>
              </c:ext>
            </c:extLst>
          </c:dPt>
          <c:dPt>
            <c:idx val="6"/>
            <c:bubble3D val="0"/>
            <c:spPr>
              <a:solidFill>
                <a:schemeClr val="accent3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F8AA-400E-A749-83A26F8F1783}"/>
              </c:ext>
            </c:extLst>
          </c:dPt>
          <c:dPt>
            <c:idx val="7"/>
            <c:bubble3D val="0"/>
            <c:spPr>
              <a:solidFill>
                <a:schemeClr val="accent3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8AA-400E-A749-83A26F8F1783}"/>
              </c:ext>
            </c:extLst>
          </c:dPt>
          <c:dPt>
            <c:idx val="8"/>
            <c:bubble3D val="0"/>
            <c:spPr>
              <a:solidFill>
                <a:schemeClr val="accent3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F8AA-400E-A749-83A26F8F1783}"/>
              </c:ext>
            </c:extLst>
          </c:dPt>
          <c:dPt>
            <c:idx val="9"/>
            <c:bubble3D val="0"/>
            <c:spPr>
              <a:solidFill>
                <a:schemeClr val="accent3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8AA-400E-A749-83A26F8F1783}"/>
              </c:ext>
            </c:extLst>
          </c:dPt>
          <c:dPt>
            <c:idx val="10"/>
            <c:bubble3D val="0"/>
            <c:spPr>
              <a:solidFill>
                <a:schemeClr val="accent3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F8AA-400E-A749-83A26F8F1783}"/>
              </c:ext>
            </c:extLst>
          </c:dPt>
          <c:dPt>
            <c:idx val="11"/>
            <c:bubble3D val="0"/>
            <c:spPr>
              <a:solidFill>
                <a:schemeClr val="accent3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8AA-400E-A749-83A26F8F1783}"/>
              </c:ext>
            </c:extLst>
          </c:dPt>
          <c:dLbls>
            <c:dLbl>
              <c:idx val="0"/>
              <c:layout>
                <c:manualLayout>
                  <c:x val="0.10581395671775479"/>
                  <c:y val="4.4683813640349838E-2"/>
                </c:manualLayout>
              </c:layout>
              <c:tx>
                <c:rich>
                  <a:bodyPr/>
                  <a:lstStyle/>
                  <a:p>
                    <a:fld id="{1250114C-0942-4654-A51D-7C8CB802F8B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8C63A3C8-1AB4-40F4-A66D-F504489DBB0D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E3D6701B-1D99-4FA7-B6BE-0DADFA21B71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8AA-400E-A749-83A26F8F1783}"/>
                </c:ext>
              </c:extLst>
            </c:dLbl>
            <c:dLbl>
              <c:idx val="1"/>
              <c:layout>
                <c:manualLayout>
                  <c:x val="8.546511888741741E-2"/>
                  <c:y val="0.121018661942614"/>
                </c:manualLayout>
              </c:layout>
              <c:tx>
                <c:rich>
                  <a:bodyPr/>
                  <a:lstStyle/>
                  <a:p>
                    <a:fld id="{E44550DA-1D10-4D6A-90EC-3FA61CF9C60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A749718-6275-494A-B142-BE650112D60F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AF6F1749-1CDD-4E82-877C-86D50694A128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F8AA-400E-A749-83A26F8F1783}"/>
                </c:ext>
              </c:extLst>
            </c:dLbl>
            <c:dLbl>
              <c:idx val="2"/>
              <c:layout>
                <c:manualLayout>
                  <c:x val="3.5271318905918246E-2"/>
                  <c:y val="0.1321896153527016"/>
                </c:manualLayout>
              </c:layout>
              <c:tx>
                <c:rich>
                  <a:bodyPr/>
                  <a:lstStyle/>
                  <a:p>
                    <a:fld id="{A04D2D3B-8E2E-4663-918D-D40CC0CE8C3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C7244F56-BA79-41DA-8C02-476E98838BCE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64FE7050-482B-4F3E-8DA5-FAE4F4EAC176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F8AA-400E-A749-83A26F8F1783}"/>
                </c:ext>
              </c:extLst>
            </c:dLbl>
            <c:dLbl>
              <c:idx val="3"/>
              <c:layout>
                <c:manualLayout>
                  <c:x val="-1.7635659452959199E-2"/>
                  <c:y val="0.14336056876278891"/>
                </c:manualLayout>
              </c:layout>
              <c:tx>
                <c:rich>
                  <a:bodyPr/>
                  <a:lstStyle/>
                  <a:p>
                    <a:fld id="{10A6A7EE-1924-4650-B4CD-1142D8181B6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CB912577-AE57-481D-8916-00C1FFDDEECB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291EADCE-728A-485B-8908-699AAD0BAC34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F8AA-400E-A749-83A26F8F1783}"/>
                </c:ext>
              </c:extLst>
            </c:dLbl>
            <c:dLbl>
              <c:idx val="4"/>
              <c:layout>
                <c:manualLayout>
                  <c:x val="-0.13430232968022737"/>
                  <c:y val="4.6545639208697746E-2"/>
                </c:manualLayout>
              </c:layout>
              <c:tx>
                <c:rich>
                  <a:bodyPr/>
                  <a:lstStyle/>
                  <a:p>
                    <a:fld id="{3F9F4100-82DE-46C0-9691-B1E5183AE52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B64E05BA-394F-4A96-AA6F-C89FE359A2E7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C2EFD7C0-6597-4D0C-AE60-54E72596A705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8AA-400E-A749-83A26F8F1783}"/>
                </c:ext>
              </c:extLst>
            </c:dLbl>
            <c:dLbl>
              <c:idx val="5"/>
              <c:layout>
                <c:manualLayout>
                  <c:x val="-4.3410854038053288E-2"/>
                  <c:y val="-0.10612405739583086"/>
                </c:manualLayout>
              </c:layout>
              <c:tx>
                <c:rich>
                  <a:bodyPr/>
                  <a:lstStyle/>
                  <a:p>
                    <a:fld id="{4967A493-D1D9-4D88-BFF9-2E9FE0D5333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FA31ACA-B944-48E1-BB50-EF26DE7F657E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A4D084D6-7173-44A5-9907-5DEDAAB5E3E0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8AA-400E-A749-83A26F8F178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8AA-400E-A749-83A26F8F178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8AA-400E-A749-83A26F8F178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8AA-400E-A749-83A26F8F178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8AA-400E-A749-83A26F8F178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8AA-400E-A749-83A26F8F178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8AA-400E-A749-83A26F8F17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1"/>
            <c:showVal val="0"/>
            <c:showCatName val="0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'1'!$B$13:$B$25</c:f>
              <c:numCache>
                <c:formatCode>_("zł"* #,##0.00_);_("zł"* \(#,##0.00\);_("zł"* "-"??_);_(@_)</c:formatCode>
                <c:ptCount val="12"/>
                <c:pt idx="0">
                  <c:v>2500</c:v>
                </c:pt>
                <c:pt idx="1">
                  <c:v>300</c:v>
                </c:pt>
                <c:pt idx="2">
                  <c:v>500</c:v>
                </c:pt>
                <c:pt idx="3">
                  <c:v>100</c:v>
                </c:pt>
                <c:pt idx="4">
                  <c:v>1500</c:v>
                </c:pt>
                <c:pt idx="5">
                  <c:v>800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'1'!$A$13:$A$24</c15:f>
                <c15:dlblRangeCache>
                  <c:ptCount val="12"/>
                  <c:pt idx="0">
                    <c:v>Allowance</c:v>
                  </c:pt>
                  <c:pt idx="1">
                    <c:v>Financial</c:v>
                  </c:pt>
                  <c:pt idx="2">
                    <c:v>Gift</c:v>
                  </c:pt>
                  <c:pt idx="3">
                    <c:v>Other incoms</c:v>
                  </c:pt>
                  <c:pt idx="4">
                    <c:v>Salary</c:v>
                  </c:pt>
                  <c:pt idx="5">
                    <c:v>Scholarship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8AA-400E-A749-83A26F8F1783}"/>
            </c:ext>
          </c:extLst>
        </c:ser>
        <c:ser>
          <c:idx val="1"/>
          <c:order val="1"/>
          <c:tx>
            <c:strRef>
              <c:f>'1'!$C$12</c:f>
              <c:strCache>
                <c:ptCount val="1"/>
                <c:pt idx="0">
                  <c:v>Actual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8AA-400E-A749-83A26F8F1783}"/>
              </c:ext>
            </c:extLst>
          </c:dPt>
          <c:dPt>
            <c:idx val="1"/>
            <c:bubble3D val="0"/>
            <c:spPr>
              <a:solidFill>
                <a:schemeClr val="accent3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8AA-400E-A749-83A26F8F1783}"/>
              </c:ext>
            </c:extLst>
          </c:dPt>
          <c:dPt>
            <c:idx val="2"/>
            <c:bubble3D val="0"/>
            <c:spPr>
              <a:solidFill>
                <a:schemeClr val="accent3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AA-400E-A749-83A26F8F1783}"/>
              </c:ext>
            </c:extLst>
          </c:dPt>
          <c:dPt>
            <c:idx val="3"/>
            <c:bubble3D val="0"/>
            <c:spPr>
              <a:solidFill>
                <a:schemeClr val="accent3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AA-400E-A749-83A26F8F1783}"/>
              </c:ext>
            </c:extLst>
          </c:dPt>
          <c:dPt>
            <c:idx val="4"/>
            <c:bubble3D val="0"/>
            <c:spPr>
              <a:solidFill>
                <a:schemeClr val="accent3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8AA-400E-A749-83A26F8F1783}"/>
              </c:ext>
            </c:extLst>
          </c:dPt>
          <c:dPt>
            <c:idx val="5"/>
            <c:bubble3D val="0"/>
            <c:spPr>
              <a:solidFill>
                <a:schemeClr val="accent3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8AA-400E-A749-83A26F8F1783}"/>
              </c:ext>
            </c:extLst>
          </c:dPt>
          <c:dPt>
            <c:idx val="6"/>
            <c:bubble3D val="0"/>
            <c:spPr>
              <a:solidFill>
                <a:schemeClr val="accent3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8AA-400E-A749-83A26F8F1783}"/>
              </c:ext>
            </c:extLst>
          </c:dPt>
          <c:dPt>
            <c:idx val="7"/>
            <c:bubble3D val="0"/>
            <c:spPr>
              <a:solidFill>
                <a:schemeClr val="accent3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8AA-400E-A749-83A26F8F1783}"/>
              </c:ext>
            </c:extLst>
          </c:dPt>
          <c:dPt>
            <c:idx val="8"/>
            <c:bubble3D val="0"/>
            <c:spPr>
              <a:solidFill>
                <a:schemeClr val="accent3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8AA-400E-A749-83A26F8F1783}"/>
              </c:ext>
            </c:extLst>
          </c:dPt>
          <c:dPt>
            <c:idx val="9"/>
            <c:bubble3D val="0"/>
            <c:spPr>
              <a:solidFill>
                <a:schemeClr val="accent3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8AA-400E-A749-83A26F8F1783}"/>
              </c:ext>
            </c:extLst>
          </c:dPt>
          <c:dPt>
            <c:idx val="10"/>
            <c:bubble3D val="0"/>
            <c:spPr>
              <a:solidFill>
                <a:schemeClr val="accent3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8AA-400E-A749-83A26F8F1783}"/>
              </c:ext>
            </c:extLst>
          </c:dPt>
          <c:dPt>
            <c:idx val="11"/>
            <c:bubble3D val="0"/>
            <c:spPr>
              <a:solidFill>
                <a:schemeClr val="accent3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8AA-400E-A749-83A26F8F1783}"/>
              </c:ext>
            </c:extLst>
          </c:dPt>
          <c:dLbls>
            <c:dLbl>
              <c:idx val="0"/>
              <c:layout>
                <c:manualLayout>
                  <c:x val="2.4418605396404974E-2"/>
                  <c:y val="-8.3782150575655953E-2"/>
                </c:manualLayout>
              </c:layout>
              <c:tx>
                <c:rich>
                  <a:bodyPr/>
                  <a:lstStyle/>
                  <a:p>
                    <a:fld id="{21B4DA53-6F66-48B6-A5B1-BB4B9197D73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13781328-EF80-4585-BCDE-EBC51A38959B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C5240ED1-BC9B-4F69-B2E5-5622879280C5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8AA-400E-A749-83A26F8F1783}"/>
                </c:ext>
              </c:extLst>
            </c:dLbl>
            <c:dLbl>
              <c:idx val="1"/>
              <c:layout>
                <c:manualLayout>
                  <c:x val="4.4767443226742351E-2"/>
                  <c:y val="-0.12474231307930997"/>
                </c:manualLayout>
              </c:layout>
              <c:tx>
                <c:rich>
                  <a:bodyPr/>
                  <a:lstStyle/>
                  <a:p>
                    <a:fld id="{D58839DC-54B6-40CF-AF4D-269A1FB05A0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A0598DE1-DF9C-4FCD-9CF4-DA55A937CB01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6D24D09D-4C56-4245-BD7F-66BC94B69920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8AA-400E-A749-83A26F8F178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AA-400E-A749-83A26F8F1783}"/>
                </c:ext>
              </c:extLst>
            </c:dLbl>
            <c:dLbl>
              <c:idx val="3"/>
              <c:layout>
                <c:manualLayout>
                  <c:x val="9.2248064830863244E-2"/>
                  <c:y val="-4.0960162503654016E-2"/>
                </c:manualLayout>
              </c:layout>
              <c:tx>
                <c:rich>
                  <a:bodyPr/>
                  <a:lstStyle/>
                  <a:p>
                    <a:fld id="{A90BE1B9-F1A0-4C72-96B4-08F021F89BD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2F8B001F-DA97-4E74-B61F-35AE0A55B1C8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16DC5561-18D8-4654-B58C-17FF01A316BF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8AA-400E-A749-83A26F8F1783}"/>
                </c:ext>
              </c:extLst>
            </c:dLbl>
            <c:dLbl>
              <c:idx val="4"/>
              <c:layout>
                <c:manualLayout>
                  <c:x val="-5.0193799981499115E-2"/>
                  <c:y val="6.7025720460524754E-2"/>
                </c:manualLayout>
              </c:layout>
              <c:tx>
                <c:rich>
                  <a:bodyPr/>
                  <a:lstStyle/>
                  <a:p>
                    <a:fld id="{5894A853-8598-4697-978E-785BB950EBA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1EAEA6CD-FCE7-410A-8A10-92C55CE372E0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BC26406A-183D-4D34-9292-12936C2FDF63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F8AA-400E-A749-83A26F8F178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8AA-400E-A749-83A26F8F178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8AA-400E-A749-83A26F8F178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8AA-400E-A749-83A26F8F178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8AA-400E-A749-83A26F8F178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8AA-400E-A749-83A26F8F178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8AA-400E-A749-83A26F8F178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8AA-400E-A749-83A26F8F17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'1'!$C$13:$C$25</c:f>
              <c:numCache>
                <c:formatCode>_("zł"* #,##0.00_);_("zł"* \(#,##0.00\);_("zł"*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'1'!$A$13:$A$24</c15:f>
                <c15:dlblRangeCache>
                  <c:ptCount val="12"/>
                  <c:pt idx="0">
                    <c:v>Allowance</c:v>
                  </c:pt>
                  <c:pt idx="1">
                    <c:v>Financial</c:v>
                  </c:pt>
                  <c:pt idx="2">
                    <c:v>Gift</c:v>
                  </c:pt>
                  <c:pt idx="3">
                    <c:v>Other incoms</c:v>
                  </c:pt>
                  <c:pt idx="4">
                    <c:v>Salary</c:v>
                  </c:pt>
                  <c:pt idx="5">
                    <c:v>Scholarship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8AA-400E-A749-83A26F8F17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BA0B-45CE-AEFE-9699F71BC422}"/>
              </c:ext>
            </c:extLst>
          </c:dPt>
          <c:dPt>
            <c:idx val="1"/>
            <c:bubble3D val="0"/>
            <c:spPr>
              <a:solidFill>
                <a:schemeClr val="accent2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A0B-45CE-AEFE-9699F71BC422}"/>
              </c:ext>
            </c:extLst>
          </c:dPt>
          <c:dPt>
            <c:idx val="2"/>
            <c:bubble3D val="0"/>
            <c:spPr>
              <a:solidFill>
                <a:schemeClr val="accent2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BA0B-45CE-AEFE-9699F71BC422}"/>
              </c:ext>
            </c:extLst>
          </c:dPt>
          <c:dPt>
            <c:idx val="3"/>
            <c:bubble3D val="0"/>
            <c:spPr>
              <a:solidFill>
                <a:schemeClr val="accent2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A0B-45CE-AEFE-9699F71BC422}"/>
              </c:ext>
            </c:extLst>
          </c:dPt>
          <c:dPt>
            <c:idx val="4"/>
            <c:bubble3D val="0"/>
            <c:spPr>
              <a:solidFill>
                <a:schemeClr val="accent2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A0B-45CE-AEFE-9699F71BC422}"/>
              </c:ext>
            </c:extLst>
          </c:dPt>
          <c:dPt>
            <c:idx val="5"/>
            <c:bubble3D val="0"/>
            <c:spPr>
              <a:solidFill>
                <a:schemeClr val="accent2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A0B-45CE-AEFE-9699F71BC422}"/>
              </c:ext>
            </c:extLst>
          </c:dPt>
          <c:dPt>
            <c:idx val="6"/>
            <c:bubble3D val="0"/>
            <c:spPr>
              <a:solidFill>
                <a:schemeClr val="accent2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A0B-45CE-AEFE-9699F71BC422}"/>
              </c:ext>
            </c:extLst>
          </c:dPt>
          <c:dPt>
            <c:idx val="7"/>
            <c:bubble3D val="0"/>
            <c:spPr>
              <a:solidFill>
                <a:schemeClr val="accent2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A0B-45CE-AEFE-9699F71BC422}"/>
              </c:ext>
            </c:extLst>
          </c:dPt>
          <c:dPt>
            <c:idx val="8"/>
            <c:bubble3D val="0"/>
            <c:spPr>
              <a:solidFill>
                <a:schemeClr val="accent2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0B-45CE-AEFE-9699F71BC422}"/>
              </c:ext>
            </c:extLst>
          </c:dPt>
          <c:dPt>
            <c:idx val="9"/>
            <c:bubble3D val="0"/>
            <c:spPr>
              <a:solidFill>
                <a:schemeClr val="accent2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BA0B-45CE-AEFE-9699F71BC422}"/>
              </c:ext>
            </c:extLst>
          </c:dPt>
          <c:dPt>
            <c:idx val="10"/>
            <c:bubble3D val="0"/>
            <c:spPr>
              <a:solidFill>
                <a:schemeClr val="accent2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A0B-45CE-AEFE-9699F71BC422}"/>
              </c:ext>
            </c:extLst>
          </c:dPt>
          <c:dPt>
            <c:idx val="11"/>
            <c:bubble3D val="0"/>
            <c:spPr>
              <a:solidFill>
                <a:schemeClr val="accent2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BA0B-45CE-AEFE-9699F71BC422}"/>
              </c:ext>
            </c:extLst>
          </c:dPt>
          <c:dLbls>
            <c:dLbl>
              <c:idx val="0"/>
              <c:layout>
                <c:manualLayout>
                  <c:x val="-0.17267123182783775"/>
                  <c:y val="1.0094453884480978E-2"/>
                </c:manualLayout>
              </c:layout>
              <c:tx>
                <c:rich>
                  <a:bodyPr/>
                  <a:lstStyle/>
                  <a:p>
                    <a:fld id="{3F477D7B-D857-4718-A2A1-D6568C9C4BD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2CD8782F-A4D9-4D35-A881-C67B7CC7A2F5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60A20E93-E44C-484A-89E9-3101D94C94C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BA0B-45CE-AEFE-9699F71BC422}"/>
                </c:ext>
              </c:extLst>
            </c:dLbl>
            <c:dLbl>
              <c:idx val="1"/>
              <c:layout>
                <c:manualLayout>
                  <c:x val="-1.0905551483863433E-2"/>
                  <c:y val="-8.4793412629640352E-2"/>
                </c:manualLayout>
              </c:layout>
              <c:tx>
                <c:rich>
                  <a:bodyPr/>
                  <a:lstStyle/>
                  <a:p>
                    <a:fld id="{9B32E898-D101-4EE6-ACEE-FA145803A06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0BD10326-D08D-4B6B-9E37-53C42B8BD62B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C296DA41-A585-4B81-951C-AFC26B350396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BA0B-45CE-AEFE-9699F71BC422}"/>
                </c:ext>
              </c:extLst>
            </c:dLbl>
            <c:dLbl>
              <c:idx val="2"/>
              <c:layout>
                <c:manualLayout>
                  <c:x val="6.3615716989203361E-2"/>
                  <c:y val="-0.13526568205204509"/>
                </c:manualLayout>
              </c:layout>
              <c:tx>
                <c:rich>
                  <a:bodyPr/>
                  <a:lstStyle/>
                  <a:p>
                    <a:fld id="{C710C557-553E-4A01-A063-3EC09A97FE2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EC15DC2-91D0-46B5-8161-D67CE688E92B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A6D350D1-4F2A-4981-A34A-C160F62262B5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BA0B-45CE-AEFE-9699F71BC422}"/>
                </c:ext>
              </c:extLst>
            </c:dLbl>
            <c:dLbl>
              <c:idx val="3"/>
              <c:layout>
                <c:manualLayout>
                  <c:x val="8.7244411870907465E-2"/>
                  <c:y val="-0.10498232039860217"/>
                </c:manualLayout>
              </c:layout>
              <c:tx>
                <c:rich>
                  <a:bodyPr/>
                  <a:lstStyle/>
                  <a:p>
                    <a:fld id="{C3E67657-6E73-48EB-B4B4-54846E67243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5D46DA47-E56F-435F-A5B1-B7038E731F30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C3F890F1-A5C7-4B16-A6DE-BEE998476DB0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A0B-45CE-AEFE-9699F71BC422}"/>
                </c:ext>
              </c:extLst>
            </c:dLbl>
            <c:dLbl>
              <c:idx val="4"/>
              <c:layout>
                <c:manualLayout>
                  <c:x val="0.1326842097203384"/>
                  <c:y val="3.4321143207235325E-2"/>
                </c:manualLayout>
              </c:layout>
              <c:tx>
                <c:rich>
                  <a:bodyPr/>
                  <a:lstStyle/>
                  <a:p>
                    <a:fld id="{80450659-1B32-432D-8A33-FB8F5430C87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279BB1BA-0438-4676-B73B-093CAF7D2EC6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C31999ED-17FB-48A9-909A-BA477CEE639A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BA0B-45CE-AEFE-9699F71BC422}"/>
                </c:ext>
              </c:extLst>
            </c:dLbl>
            <c:dLbl>
              <c:idx val="5"/>
              <c:layout>
                <c:manualLayout>
                  <c:x val="0.14722494503215636"/>
                  <c:y val="4.2396706314820107E-2"/>
                </c:manualLayout>
              </c:layout>
              <c:tx>
                <c:rich>
                  <a:bodyPr/>
                  <a:lstStyle/>
                  <a:p>
                    <a:fld id="{604D6759-8159-4737-9897-F474A156F98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18CEECB-A1DE-4016-8EB0-300D92F3C4DD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5221816E-CFFF-427D-8A0E-896CB57085FC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BA0B-45CE-AEFE-9699F71BC422}"/>
                </c:ext>
              </c:extLst>
            </c:dLbl>
            <c:dLbl>
              <c:idx val="6"/>
              <c:layout>
                <c:manualLayout>
                  <c:x val="-0.14358976120420186"/>
                  <c:y val="-0.10296342962170597"/>
                </c:manualLayout>
              </c:layout>
              <c:tx>
                <c:rich>
                  <a:bodyPr/>
                  <a:lstStyle/>
                  <a:p>
                    <a:fld id="{BA33DA01-AAB9-428A-B2C1-78A0A3A7231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D258F887-F3B9-41E8-B07D-FC2A9C59FDCE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BDB10983-F95C-4EF8-A0B1-E75195014B87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A0B-45CE-AEFE-9699F71BC422}"/>
                </c:ext>
              </c:extLst>
            </c:dLbl>
            <c:dLbl>
              <c:idx val="7"/>
              <c:layout>
                <c:manualLayout>
                  <c:x val="5.0892573591362691E-2"/>
                  <c:y val="7.6717849522055431E-2"/>
                </c:manualLayout>
              </c:layout>
              <c:tx>
                <c:rich>
                  <a:bodyPr/>
                  <a:lstStyle/>
                  <a:p>
                    <a:fld id="{5B72DCE0-3B8E-4427-AE9D-B110814DAB8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D80B9DA3-9D1B-4F11-BE28-2C2410D5CCDE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D54D26C2-0C93-4729-A2B6-AA0438DAD3A2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A0B-45CE-AEFE-9699F71BC422}"/>
                </c:ext>
              </c:extLst>
            </c:dLbl>
            <c:dLbl>
              <c:idx val="8"/>
              <c:layout>
                <c:manualLayout>
                  <c:x val="3.8169430193522015E-2"/>
                  <c:y val="0.14737902671342226"/>
                </c:manualLayout>
              </c:layout>
              <c:tx>
                <c:rich>
                  <a:bodyPr/>
                  <a:lstStyle/>
                  <a:p>
                    <a:fld id="{FB8D1A98-6381-4D2E-9F5A-7403CFE3E6B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2370588F-B4CD-4AD2-BFFF-A6CB265B6513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7EFDAB9F-74B6-43B1-A82D-1A093741C090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A0B-45CE-AEFE-9699F71BC42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BA0B-45CE-AEFE-9699F71BC42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BA0B-45CE-AEFE-9699F71BC42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A0B-45CE-AEFE-9699F71BC4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'1'!$G$13:$G$24</c:f>
              <c:numCache>
                <c:formatCode>_("zł"* #,##0.00_);_("zł"* \(#,##0.00\);_("zł"* "-"??_);_(@_)</c:formatCode>
                <c:ptCount val="12"/>
                <c:pt idx="0">
                  <c:v>1735</c:v>
                </c:pt>
                <c:pt idx="1">
                  <c:v>200</c:v>
                </c:pt>
                <c:pt idx="2">
                  <c:v>300</c:v>
                </c:pt>
                <c:pt idx="3">
                  <c:v>750</c:v>
                </c:pt>
                <c:pt idx="4">
                  <c:v>130</c:v>
                </c:pt>
                <c:pt idx="5">
                  <c:v>130</c:v>
                </c:pt>
                <c:pt idx="6">
                  <c:v>200</c:v>
                </c:pt>
                <c:pt idx="7">
                  <c:v>200</c:v>
                </c:pt>
                <c:pt idx="8">
                  <c:v>150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'1'!$F$13:$F$24</c15:f>
                <c15:dlblRangeCache>
                  <c:ptCount val="12"/>
                  <c:pt idx="0">
                    <c:v>Accomodation</c:v>
                  </c:pt>
                  <c:pt idx="1">
                    <c:v>Clothing</c:v>
                  </c:pt>
                  <c:pt idx="2">
                    <c:v>Entertainment</c:v>
                  </c:pt>
                  <c:pt idx="3">
                    <c:v>Groceries</c:v>
                  </c:pt>
                  <c:pt idx="4">
                    <c:v>Health&amp;Beauty</c:v>
                  </c:pt>
                  <c:pt idx="5">
                    <c:v>Multimedia</c:v>
                  </c:pt>
                  <c:pt idx="6">
                    <c:v>Other expences</c:v>
                  </c:pt>
                  <c:pt idx="7">
                    <c:v>Studies</c:v>
                  </c:pt>
                  <c:pt idx="8">
                    <c:v>Transportation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A0B-45CE-AEFE-9699F71BC42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A0B-45CE-AEFE-9699F71BC422}"/>
              </c:ext>
            </c:extLst>
          </c:dPt>
          <c:dPt>
            <c:idx val="1"/>
            <c:bubble3D val="0"/>
            <c:spPr>
              <a:solidFill>
                <a:schemeClr val="accent2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A0B-45CE-AEFE-9699F71BC422}"/>
              </c:ext>
            </c:extLst>
          </c:dPt>
          <c:dPt>
            <c:idx val="2"/>
            <c:bubble3D val="0"/>
            <c:spPr>
              <a:solidFill>
                <a:schemeClr val="accent2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BA0B-45CE-AEFE-9699F71BC422}"/>
              </c:ext>
            </c:extLst>
          </c:dPt>
          <c:dPt>
            <c:idx val="3"/>
            <c:bubble3D val="0"/>
            <c:spPr>
              <a:solidFill>
                <a:schemeClr val="accent2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A0B-45CE-AEFE-9699F71BC422}"/>
              </c:ext>
            </c:extLst>
          </c:dPt>
          <c:dPt>
            <c:idx val="4"/>
            <c:bubble3D val="0"/>
            <c:spPr>
              <a:solidFill>
                <a:schemeClr val="accent2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A0B-45CE-AEFE-9699F71BC422}"/>
              </c:ext>
            </c:extLst>
          </c:dPt>
          <c:dPt>
            <c:idx val="5"/>
            <c:bubble3D val="0"/>
            <c:spPr>
              <a:solidFill>
                <a:schemeClr val="accent2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A0B-45CE-AEFE-9699F71BC422}"/>
              </c:ext>
            </c:extLst>
          </c:dPt>
          <c:dPt>
            <c:idx val="6"/>
            <c:bubble3D val="0"/>
            <c:spPr>
              <a:solidFill>
                <a:schemeClr val="accent2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A0B-45CE-AEFE-9699F71BC422}"/>
              </c:ext>
            </c:extLst>
          </c:dPt>
          <c:dPt>
            <c:idx val="7"/>
            <c:bubble3D val="0"/>
            <c:spPr>
              <a:solidFill>
                <a:schemeClr val="accent2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A0B-45CE-AEFE-9699F71BC422}"/>
              </c:ext>
            </c:extLst>
          </c:dPt>
          <c:dPt>
            <c:idx val="8"/>
            <c:bubble3D val="0"/>
            <c:spPr>
              <a:solidFill>
                <a:schemeClr val="accent2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0B-45CE-AEFE-9699F71BC422}"/>
              </c:ext>
            </c:extLst>
          </c:dPt>
          <c:dPt>
            <c:idx val="9"/>
            <c:bubble3D val="0"/>
            <c:spPr>
              <a:solidFill>
                <a:schemeClr val="accent2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A0B-45CE-AEFE-9699F71BC422}"/>
              </c:ext>
            </c:extLst>
          </c:dPt>
          <c:dPt>
            <c:idx val="10"/>
            <c:bubble3D val="0"/>
            <c:spPr>
              <a:solidFill>
                <a:schemeClr val="accent2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BA0B-45CE-AEFE-9699F71BC422}"/>
              </c:ext>
            </c:extLst>
          </c:dPt>
          <c:dPt>
            <c:idx val="11"/>
            <c:bubble3D val="0"/>
            <c:spPr>
              <a:solidFill>
                <a:schemeClr val="accent2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A0B-45CE-AEFE-9699F71BC422}"/>
              </c:ext>
            </c:extLst>
          </c:dPt>
          <c:dLbls>
            <c:dLbl>
              <c:idx val="0"/>
              <c:layout>
                <c:manualLayout>
                  <c:x val="7.9974044214998513E-2"/>
                  <c:y val="-0.17362460681307285"/>
                </c:manualLayout>
              </c:layout>
              <c:tx>
                <c:rich>
                  <a:bodyPr/>
                  <a:lstStyle/>
                  <a:p>
                    <a:fld id="{7A2AA1CC-76D9-4366-A7A3-BD0E4F4F606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95664433-DFCD-4600-81F1-F6D421E53522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E9879B1B-3DF0-4815-A35E-A06722FE5085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BA0B-45CE-AEFE-9699F71BC422}"/>
                </c:ext>
              </c:extLst>
            </c:dLbl>
            <c:dLbl>
              <c:idx val="1"/>
              <c:layout>
                <c:manualLayout>
                  <c:x val="0.13268420972033843"/>
                  <c:y val="9.6906757291017387E-2"/>
                </c:manualLayout>
              </c:layout>
              <c:tx>
                <c:rich>
                  <a:bodyPr/>
                  <a:lstStyle/>
                  <a:p>
                    <a:fld id="{0B94381B-AF31-42C7-9F7E-3B3E64A52CC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AB06F992-497C-4087-AA39-6BF27888D18C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90F1322B-0981-4446-9E04-9F46873D27D3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BA0B-45CE-AEFE-9699F71BC422}"/>
                </c:ext>
              </c:extLst>
            </c:dLbl>
            <c:dLbl>
              <c:idx val="2"/>
              <c:layout>
                <c:manualLayout>
                  <c:x val="-1.9993511053749694E-2"/>
                  <c:y val="0.10498232039860217"/>
                </c:manualLayout>
              </c:layout>
              <c:tx>
                <c:rich>
                  <a:bodyPr/>
                  <a:lstStyle/>
                  <a:p>
                    <a:fld id="{14BEB639-521F-4CD2-A841-7D43DB1C7A0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C5A7FF73-0A60-4151-B0F4-C1CF5917FF5F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5CEA707C-98F3-4655-A8BC-F6C4340338F4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BA0B-45CE-AEFE-9699F71BC422}"/>
                </c:ext>
              </c:extLst>
            </c:dLbl>
            <c:dLbl>
              <c:idx val="3"/>
              <c:layout>
                <c:manualLayout>
                  <c:x val="-0.10905551483863433"/>
                  <c:y val="9.2868975737224996E-2"/>
                </c:manualLayout>
              </c:layout>
              <c:tx>
                <c:rich>
                  <a:bodyPr/>
                  <a:lstStyle/>
                  <a:p>
                    <a:fld id="{DB0C91FC-45C8-46D6-8C3E-1F5C6AE5E69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91D74894-AA60-4596-AC80-E2BBDFECF824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CED91AD9-DF9C-4EC5-8AA1-81FF36F79006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A0B-45CE-AEFE-9699F71BC422}"/>
                </c:ext>
              </c:extLst>
            </c:dLbl>
            <c:dLbl>
              <c:idx val="4"/>
              <c:layout>
                <c:manualLayout>
                  <c:x val="-9.81499633547709E-2"/>
                  <c:y val="-5.4510050976197315E-2"/>
                </c:manualLayout>
              </c:layout>
              <c:tx>
                <c:rich>
                  <a:bodyPr/>
                  <a:lstStyle/>
                  <a:p>
                    <a:fld id="{805EF135-9BF8-497E-B9C4-8AAAEF703E8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1018BBE5-C8D1-4F92-99D6-21EBF2144984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187F5A8B-EC5B-4C43-8CB2-80877EFF9D68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BA0B-45CE-AEFE-9699F71BC422}"/>
                </c:ext>
              </c:extLst>
            </c:dLbl>
            <c:dLbl>
              <c:idx val="5"/>
              <c:layout>
                <c:manualLayout>
                  <c:x val="-0.13631939354829292"/>
                  <c:y val="-7.0661177191366845E-2"/>
                </c:manualLayout>
              </c:layout>
              <c:tx>
                <c:rich>
                  <a:bodyPr/>
                  <a:lstStyle/>
                  <a:p>
                    <a:fld id="{123C3CE9-BA39-4D97-9CBB-5E4689D4927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A1C2AF91-2DE9-4DFB-8948-7C6298E858AE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3F2DAF0E-1844-4B24-B529-78CA2161D65F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A0B-45CE-AEFE-9699F71BC422}"/>
                </c:ext>
              </c:extLst>
            </c:dLbl>
            <c:dLbl>
              <c:idx val="6"/>
              <c:layout>
                <c:manualLayout>
                  <c:x val="-8.90620037848847E-2"/>
                  <c:y val="-0.12315233739066793"/>
                </c:manualLayout>
              </c:layout>
              <c:tx>
                <c:rich>
                  <a:bodyPr/>
                  <a:lstStyle/>
                  <a:p>
                    <a:fld id="{1F860923-4A72-454F-A3C0-241A97EB90C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637BFD83-BE42-435B-A2B9-0AE8CD61FACE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93E19CAB-EFDC-43B5-9780-1E3D8327A5FC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A0B-45CE-AEFE-9699F71BC422}"/>
                </c:ext>
              </c:extLst>
            </c:dLbl>
            <c:dLbl>
              <c:idx val="7"/>
              <c:layout>
                <c:manualLayout>
                  <c:x val="-1.9993511053749628E-2"/>
                  <c:y val="-8.0755631075847836E-2"/>
                </c:manualLayout>
              </c:layout>
              <c:tx>
                <c:rich>
                  <a:bodyPr/>
                  <a:lstStyle/>
                  <a:p>
                    <a:fld id="{71ED820E-BFAA-490A-98A3-71C61EF1B89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251D7697-5DE0-431E-9A47-F8E4848B6BDC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AF607692-A3E5-4DC2-BA9C-C25865709A97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A0B-45CE-AEFE-9699F71BC422}"/>
                </c:ext>
              </c:extLst>
            </c:dLbl>
            <c:dLbl>
              <c:idx val="8"/>
              <c:layout>
                <c:manualLayout>
                  <c:x val="0.14177216929022463"/>
                  <c:y val="-6.4604504860678272E-2"/>
                </c:manualLayout>
              </c:layout>
              <c:tx>
                <c:rich>
                  <a:bodyPr/>
                  <a:lstStyle/>
                  <a:p>
                    <a:fld id="{BC1C5ABC-3F71-4FFD-8F52-DD9B8DCA68C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B53F9648-9B2B-4D9F-B63F-915F0C429634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fld id="{58CAB9C4-4150-4A06-AE93-F3DF75C29992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A0B-45CE-AEFE-9699F71BC42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A0B-45CE-AEFE-9699F71BC42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A0B-45CE-AEFE-9699F71BC42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A0B-45CE-AEFE-9699F71BC4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'1'!$H$13:$H$24</c:f>
              <c:numCache>
                <c:formatCode>_("zł"* #,##0.00_);_("zł"* \(#,##0.00\);_("zł"*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'1'!$F$13:$F$24</c15:f>
                <c15:dlblRangeCache>
                  <c:ptCount val="12"/>
                  <c:pt idx="0">
                    <c:v>Accomodation</c:v>
                  </c:pt>
                  <c:pt idx="1">
                    <c:v>Clothing</c:v>
                  </c:pt>
                  <c:pt idx="2">
                    <c:v>Entertainment</c:v>
                  </c:pt>
                  <c:pt idx="3">
                    <c:v>Groceries</c:v>
                  </c:pt>
                  <c:pt idx="4">
                    <c:v>Health&amp;Beauty</c:v>
                  </c:pt>
                  <c:pt idx="5">
                    <c:v>Multimedia</c:v>
                  </c:pt>
                  <c:pt idx="6">
                    <c:v>Other expences</c:v>
                  </c:pt>
                  <c:pt idx="7">
                    <c:v>Studies</c:v>
                  </c:pt>
                  <c:pt idx="8">
                    <c:v>Transportation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BA0B-45CE-AEFE-9699F71BC4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660000"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1068158</xdr:colOff>
      <xdr:row>0</xdr:row>
      <xdr:rowOff>70757</xdr:rowOff>
    </xdr:from>
    <xdr:to>
      <xdr:col>8</xdr:col>
      <xdr:colOff>278944</xdr:colOff>
      <xdr:row>9</xdr:row>
      <xdr:rowOff>119743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CA91D-2FF2-5151-A8BE-327E8D94B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1143000</xdr:colOff>
      <xdr:row>27</xdr:row>
      <xdr:rowOff>63952</xdr:rowOff>
    </xdr:from>
    <xdr:to>
      <xdr:col>7</xdr:col>
      <xdr:colOff>680357</xdr:colOff>
      <xdr:row>63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BD096F-1152-DB00-E15D-1F94CCDFE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1313089</xdr:colOff>
      <xdr:row>27</xdr:row>
      <xdr:rowOff>50345</xdr:rowOff>
    </xdr:from>
    <xdr:to>
      <xdr:col>13</xdr:col>
      <xdr:colOff>489856</xdr:colOff>
      <xdr:row>60</xdr:row>
      <xdr:rowOff>27214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9EB141-4622-F704-DBBA-198B9AC40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40BEE-5ACA-43A8-BF41-B4AD49858880}" name="incomes_1" displayName="incomes_1" ref="A12:D25" totalsRowCount="1" headerRowDxfId="50" dataDxfId="51" tableBorderDxfId="56" dataCellStyle="Currency">
  <autoFilter ref="A12:D24" xr:uid="{93340BEE-5ACA-43A8-BF41-B4AD49858880}"/>
  <tableColumns count="4">
    <tableColumn id="1" xr3:uid="{CE713514-2DA5-44CB-9F45-0FFA622D11B3}" name="Source" totalsRowLabel="Total" dataDxfId="55" totalsRowDxfId="3" dataCellStyle="20% - Accent3"/>
    <tableColumn id="2" xr3:uid="{854772E7-6370-47D8-A738-B57A8C1C28C8}" name="Planned" totalsRowFunction="sum" dataDxfId="54" totalsRowDxfId="2" dataCellStyle="Currency"/>
    <tableColumn id="3" xr3:uid="{F3721DC7-3F59-4047-ACE7-9B36D55FFE2E}" name="Actual" totalsRowFunction="sum" dataDxfId="53" totalsRowDxfId="1" dataCellStyle="Currency">
      <calculatedColumnFormula array="1">_xlfn.XLOOKUP('1'!$A13,INDIRECT("'FinanseML.xlsx'!incomes_"&amp;$A$2&amp;"[Category]"),INDIRECT("'FinanseML.xlsx'!incomes_"&amp;$A$2&amp;"[Total]"),0,0,1)</calculatedColumnFormula>
    </tableColumn>
    <tableColumn id="4" xr3:uid="{70A1751F-6D75-45D0-81C3-701E20B7C7FB}" name="Left" totalsRowFunction="sum" dataDxfId="52" totalsRowDxfId="0" dataCellStyle="Currency">
      <calculatedColumnFormula>'1'!$B13-'1'!$C13</calculatedColumnFormula>
    </tableColumn>
  </tableColumns>
  <tableStyleInfo name="TableBlank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5E8862-7B4C-45B5-B7B5-225A43CF26C0}" name="expenses_1" displayName="expenses_1" ref="F12:I25" totalsRowCount="1" headerRowDxfId="47" dataDxfId="48" tableBorderDxfId="49" headerRowCellStyle="60% - Accent2" dataCellStyle="Currency">
  <autoFilter ref="F12:I24" xr:uid="{195E8862-7B4C-45B5-B7B5-225A43CF26C0}"/>
  <tableColumns count="4">
    <tableColumn id="1" xr3:uid="{05AF32A7-46B0-42B1-97E8-2550E1F56210}" name="Category" totalsRowLabel="Total" totalsRowDxfId="44" dataCellStyle="40% - Accent2" totalsRowCellStyle="40% - Accent2"/>
    <tableColumn id="2" xr3:uid="{B921BA1C-5C6D-4D60-B68D-AD706385BEC2}" name="Planned" totalsRowFunction="sum" dataDxfId="46" totalsRowDxfId="42" dataCellStyle="Currency"/>
    <tableColumn id="3" xr3:uid="{3FBDA07D-288C-454A-A33E-2DF088D8AF6D}" name="Actual" totalsRowFunction="sum" dataDxfId="45" totalsRowDxfId="41" dataCellStyle="Currency"/>
    <tableColumn id="4" xr3:uid="{DB76F648-5960-4CFF-B940-AA180018E058}" name="Left" totalsRowFunction="sum" totalsRowDxfId="43" dataCellStyle="Currency" totalsRowCellStyle="Currency">
      <calculatedColumnFormula>'1'!$G13-'1'!$H13</calculatedColumnFormula>
    </tableColumn>
  </tableColumns>
  <tableStyleInfo name="TableBlank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A6561A-76D4-44EA-B27A-11E52B66E53A}" name="bills_1" displayName="bills_1" ref="K12:O25" totalsRowCount="1" headerRowDxfId="33" dataDxfId="34" tableBorderDxfId="40" headerRowCellStyle="60% - Accent6" dataCellStyle="Currency">
  <autoFilter ref="K12:O24" xr:uid="{E2A6561A-76D4-44EA-B27A-11E52B66E53A}"/>
  <tableColumns count="5">
    <tableColumn id="1" xr3:uid="{E8642E33-D73D-4BEA-914A-37B22C1F8B24}" name="Source" totalsRowLabel="Total" dataDxfId="39" totalsRowDxfId="32" dataCellStyle="40% - Accent6" totalsRowCellStyle="40% - Accent6"/>
    <tableColumn id="2" xr3:uid="{FB9E42BA-5C39-45F8-A532-9FB0A5617E42}" name="Due" dataDxfId="38" totalsRowDxfId="31" dataCellStyle="40% - Accent6" totalsRowCellStyle="40% - Accent6"/>
    <tableColumn id="3" xr3:uid="{48378A8A-E71E-4FA1-8BD1-DD31A6AAA6E5}" name="Planned" totalsRowFunction="sum" dataDxfId="37" totalsRowDxfId="30" dataCellStyle="Currency"/>
    <tableColumn id="4" xr3:uid="{EE9629FC-EF86-45FE-A03A-A6D0653E2F41}" name="Actual" totalsRowFunction="sum" dataDxfId="36" totalsRowDxfId="29" dataCellStyle="Currency"/>
    <tableColumn id="5" xr3:uid="{8746B277-9CCA-4C50-ABD0-51200E659F67}" name="Left" totalsRowFunction="sum" dataDxfId="35" totalsRowDxfId="28" dataCellStyle="Currency"/>
  </tableColumns>
  <tableStyleInfo name="TableBlank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BFA6148-C334-4B07-9A77-51A30CFBCE07}" name="subscriptions_1" displayName="subscriptions_1" ref="Q12:U25" totalsRowCount="1" headerRowDxfId="20" dataDxfId="21" tableBorderDxfId="27" headerRowCellStyle="60% - Accent1" dataCellStyle="Currency">
  <autoFilter ref="Q12:U24" xr:uid="{CBFA6148-C334-4B07-9A77-51A30CFBCE07}"/>
  <tableColumns count="5">
    <tableColumn id="1" xr3:uid="{7464C84F-7ACC-4143-8D5C-1106845E8450}" name="Source" totalsRowLabel="Total" dataDxfId="26" totalsRowDxfId="19" dataCellStyle="40% - Accent1" totalsRowCellStyle="40% - Accent1"/>
    <tableColumn id="2" xr3:uid="{C28FEAC3-5F33-40AF-AF58-9FC496061D8E}" name="Due" dataDxfId="25" totalsRowDxfId="18" dataCellStyle="40% - Accent1" totalsRowCellStyle="40% - Accent1"/>
    <tableColumn id="3" xr3:uid="{935C66D5-0397-46F1-AE06-7B20BB3782F3}" name="Planned" dataDxfId="24" totalsRowDxfId="17" dataCellStyle="Currency" totalsRowCellStyle="Currency"/>
    <tableColumn id="4" xr3:uid="{D4C267A9-18A5-4DC4-90D5-21A0146169CE}" name="Actual" dataDxfId="23" totalsRowDxfId="16" dataCellStyle="Currency" totalsRowCellStyle="Currency"/>
    <tableColumn id="5" xr3:uid="{D9AE73E2-B693-41A9-81D2-8C5B296828BA}" name="Left" totalsRowFunction="count" dataDxfId="22" totalsRowDxfId="15" dataCellStyle="Currency" totalsRowCellStyle="Currency"/>
  </tableColumns>
  <tableStyleInfo name="TableBlank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D0FECE0-7B53-401E-A6B7-38B73465A54E}" name="savings_1" displayName="savings_1" ref="W12:Z25" totalsRowCount="1" headerRowDxfId="9" dataDxfId="10" tableBorderDxfId="14" headerRowCellStyle="60% - Accent4" dataCellStyle="Currency">
  <autoFilter ref="W12:Z24" xr:uid="{FD0FECE0-7B53-401E-A6B7-38B73465A54E}"/>
  <tableColumns count="4">
    <tableColumn id="1" xr3:uid="{478D0CEA-9393-42C5-9023-166C3D0F2E85}" name="Source" totalsRowLabel="Total" dataDxfId="13" totalsRowDxfId="8" dataCellStyle="40% - Accent4"/>
    <tableColumn id="2" xr3:uid="{B538FD22-0DB8-4CD3-9BD5-20DD9B3B87E1}" name="Planned" dataDxfId="12" totalsRowDxfId="7" dataCellStyle="Currency"/>
    <tableColumn id="3" xr3:uid="{FE64E15B-B831-4DFD-9D03-656C07DC2049}" name="Actual" dataDxfId="11" totalsRowDxfId="6" dataCellStyle="Currency"/>
    <tableColumn id="4" xr3:uid="{0B1BF9F3-3726-443C-B44F-C08DDD31F920}" name="Left" totalsRowFunction="count" dataDxfId="4" totalsRowDxfId="5" dataCellStyle="Currency">
      <calculatedColumnFormula>savings_1[[#This Row],[Planned]]-savings_1[[#This Row],[Actual]]</calculatedColumnFormula>
    </tableColumn>
  </tableColumns>
  <tableStyleInfo name="TableBlank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"/>
  <sheetViews>
    <sheetView tabSelected="1" zoomScale="70" zoomScaleNormal="70" workbookViewId="0">
      <selection activeCell="H13" sqref="H13"/>
    </sheetView>
  </sheetViews>
  <sheetFormatPr defaultRowHeight="15" x14ac:dyDescent="0.25"/>
  <cols>
    <col min="1" max="1" width="17.28515625" customWidth="1"/>
    <col min="2" max="2" width="27.85546875" customWidth="1"/>
    <col min="3" max="3" width="21.7109375" customWidth="1"/>
    <col min="4" max="4" width="19.7109375" bestFit="1" customWidth="1"/>
    <col min="5" max="5" width="19.140625" customWidth="1"/>
    <col min="6" max="6" width="21.42578125" customWidth="1"/>
    <col min="7" max="7" width="20" bestFit="1" customWidth="1"/>
    <col min="8" max="8" width="19.7109375" bestFit="1" customWidth="1"/>
    <col min="9" max="9" width="20" bestFit="1" customWidth="1"/>
    <col min="10" max="10" width="13.28515625" customWidth="1"/>
    <col min="11" max="11" width="20.28515625" customWidth="1"/>
    <col min="12" max="12" width="23.85546875" bestFit="1" customWidth="1"/>
    <col min="13" max="13" width="20" bestFit="1" customWidth="1"/>
    <col min="14" max="14" width="12.85546875" customWidth="1"/>
    <col min="15" max="15" width="11.42578125" customWidth="1"/>
    <col min="16" max="16" width="17.28515625" bestFit="1" customWidth="1"/>
    <col min="17" max="17" width="14.7109375" customWidth="1"/>
    <col min="18" max="18" width="21.7109375" bestFit="1" customWidth="1"/>
    <col min="19" max="19" width="20.85546875" customWidth="1"/>
    <col min="20" max="20" width="25.7109375" customWidth="1"/>
    <col min="21" max="21" width="14.7109375" customWidth="1"/>
    <col min="23" max="23" width="19.42578125" bestFit="1" customWidth="1"/>
    <col min="24" max="24" width="20" bestFit="1" customWidth="1"/>
    <col min="25" max="25" width="14" bestFit="1" customWidth="1"/>
    <col min="26" max="26" width="20" bestFit="1" customWidth="1"/>
  </cols>
  <sheetData>
    <row r="1" spans="1:26" ht="23.25" x14ac:dyDescent="0.35">
      <c r="A1" s="24" t="s">
        <v>21</v>
      </c>
      <c r="B1" s="24"/>
      <c r="C1" s="2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6" ht="23.25" x14ac:dyDescent="0.35">
      <c r="A2" s="25" t="str" cm="1">
        <f t="array" aca="1" ref="A2" ca="1">_xlfn.TEXTAFTER(CELL("filename",A1),"]")</f>
        <v>1</v>
      </c>
      <c r="B2" s="25"/>
      <c r="C2" s="2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6" ht="23.25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W3" s="1"/>
    </row>
    <row r="4" spans="1:26" ht="23.25" x14ac:dyDescent="0.35">
      <c r="A4" s="3"/>
      <c r="B4" s="4" t="s">
        <v>4</v>
      </c>
      <c r="C4" s="4" t="s">
        <v>5</v>
      </c>
      <c r="D4" s="4" t="s">
        <v>22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6" ht="23.25" x14ac:dyDescent="0.35">
      <c r="A5" s="4" t="s">
        <v>43</v>
      </c>
      <c r="B5" s="18" cm="1">
        <f t="array" aca="1" ref="B5" ca="1">INDIRECT($A5&amp;"_1[[#Totals];["&amp;B$4&amp;"]]")</f>
        <v>5700</v>
      </c>
      <c r="C5" s="18" t="e" cm="1">
        <f t="array" aca="1" ref="C5" ca="1">INDIRECT($A5&amp;"_1[[#Totals];["&amp;C$4&amp;"]]")</f>
        <v>#REF!</v>
      </c>
      <c r="D5" s="19" t="e">
        <f ca="1">B5-C5</f>
        <v>#REF!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6" ht="23.25" x14ac:dyDescent="0.35">
      <c r="A6" s="4" t="s">
        <v>8</v>
      </c>
      <c r="B6" s="18" cm="1">
        <f t="array" aca="1" ref="B6" ca="1">INDIRECT($A6&amp;"_1[[#Totals];["&amp;B$4&amp;"]]")</f>
        <v>3795</v>
      </c>
      <c r="C6" s="18" t="e" cm="1">
        <f t="array" aca="1" ref="C6" ca="1">INDIRECT($A6&amp;"_1[[#Totals];["&amp;C$4&amp;"]]")</f>
        <v>#REF!</v>
      </c>
      <c r="D6" s="19" t="e">
        <f t="shared" ref="D6:D7" ca="1" si="0">B6-C6</f>
        <v>#REF!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6" ht="23.25" x14ac:dyDescent="0.35">
      <c r="A7" s="4" t="s">
        <v>16</v>
      </c>
      <c r="B7" s="18" cm="1">
        <f t="array" aca="1" ref="B7" ca="1">INDIRECT($A7&amp;"_1[[#Totals];["&amp;B$4&amp;"]]")</f>
        <v>0</v>
      </c>
      <c r="C7" s="18" cm="1">
        <f t="array" aca="1" ref="C7" ca="1">INDIRECT($A7&amp;"_1[[#Totals];["&amp;C$4&amp;"]]")</f>
        <v>0</v>
      </c>
      <c r="D7" s="19">
        <f t="shared" ca="1" si="0"/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ht="23.25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W8" s="2"/>
    </row>
    <row r="9" spans="1:26" ht="23.25" x14ac:dyDescent="0.35">
      <c r="A9" s="4" t="s">
        <v>23</v>
      </c>
      <c r="B9" s="20">
        <f ca="1">B5-B6-B7</f>
        <v>1905</v>
      </c>
      <c r="C9" s="19" t="e">
        <f ca="1">C5-C6-C7</f>
        <v>#REF!</v>
      </c>
      <c r="D9" s="20" t="e">
        <f ca="1">D7+D6-D5</f>
        <v>#REF!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6" ht="23.25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W10" s="1"/>
    </row>
    <row r="11" spans="1:26" ht="27" x14ac:dyDescent="0.5">
      <c r="A11" s="26" t="s">
        <v>2</v>
      </c>
      <c r="B11" s="27"/>
      <c r="C11" s="27"/>
      <c r="D11" s="16"/>
      <c r="E11" s="5"/>
      <c r="F11" s="28" t="s">
        <v>8</v>
      </c>
      <c r="G11" s="28"/>
      <c r="H11" s="29"/>
      <c r="I11" s="6"/>
      <c r="J11" s="7"/>
      <c r="K11" s="30" t="s">
        <v>9</v>
      </c>
      <c r="L11" s="30"/>
      <c r="M11" s="30"/>
      <c r="N11" s="31"/>
      <c r="O11" s="8"/>
      <c r="P11" s="7"/>
      <c r="Q11" s="21" t="s">
        <v>15</v>
      </c>
      <c r="R11" s="21"/>
      <c r="S11" s="21"/>
      <c r="T11" s="21"/>
      <c r="U11" s="17"/>
      <c r="V11" s="7"/>
      <c r="W11" s="22" t="s">
        <v>16</v>
      </c>
      <c r="X11" s="22"/>
      <c r="Y11" s="23"/>
      <c r="Z11" s="9"/>
    </row>
    <row r="12" spans="1:26" ht="27" x14ac:dyDescent="0.5">
      <c r="A12" s="38" t="s">
        <v>3</v>
      </c>
      <c r="B12" s="39" t="s">
        <v>4</v>
      </c>
      <c r="C12" s="39" t="s">
        <v>5</v>
      </c>
      <c r="D12" s="39" t="s">
        <v>22</v>
      </c>
      <c r="E12" s="5"/>
      <c r="F12" s="44" t="s">
        <v>41</v>
      </c>
      <c r="G12" s="45" t="s">
        <v>4</v>
      </c>
      <c r="H12" s="45" t="s">
        <v>5</v>
      </c>
      <c r="I12" s="45" t="s">
        <v>22</v>
      </c>
      <c r="J12" s="7"/>
      <c r="K12" s="52" t="s">
        <v>3</v>
      </c>
      <c r="L12" s="53" t="s">
        <v>19</v>
      </c>
      <c r="M12" s="53" t="s">
        <v>4</v>
      </c>
      <c r="N12" s="53" t="s">
        <v>5</v>
      </c>
      <c r="O12" s="53" t="s">
        <v>22</v>
      </c>
      <c r="P12" s="7"/>
      <c r="Q12" s="58" t="s">
        <v>3</v>
      </c>
      <c r="R12" s="59" t="s">
        <v>19</v>
      </c>
      <c r="S12" s="60" t="s">
        <v>4</v>
      </c>
      <c r="T12" s="60" t="s">
        <v>5</v>
      </c>
      <c r="U12" s="60" t="s">
        <v>22</v>
      </c>
      <c r="V12" s="7"/>
      <c r="W12" s="68" t="s">
        <v>3</v>
      </c>
      <c r="X12" s="69" t="s">
        <v>4</v>
      </c>
      <c r="Y12" s="69" t="s">
        <v>5</v>
      </c>
      <c r="Z12" s="69" t="s">
        <v>22</v>
      </c>
    </row>
    <row r="13" spans="1:26" ht="27" x14ac:dyDescent="0.5">
      <c r="A13" s="37" t="s">
        <v>7</v>
      </c>
      <c r="B13" s="11">
        <v>2500</v>
      </c>
      <c r="C13" s="11" t="e" cm="1">
        <f t="array" aca="1" ref="C13" ca="1">_xlfn.XLOOKUP('1'!$A13,INDIRECT("'FinanseML.xlsx'!incomes_"&amp;$A$2&amp;"[Category]"),INDIRECT("'FinanseML.xlsx'!incomes_"&amp;$A$2&amp;"[Total]"),0,0,1)</f>
        <v>#REF!</v>
      </c>
      <c r="D13" s="11" t="e">
        <f ca="1">'1'!$B13-'1'!$C13</f>
        <v>#REF!</v>
      </c>
      <c r="E13" s="5"/>
      <c r="F13" s="43" t="s">
        <v>25</v>
      </c>
      <c r="G13" s="12">
        <v>1735</v>
      </c>
      <c r="H13" s="12" t="e" cm="1">
        <f t="array" aca="1" ref="H13" ca="1">-_xlfn.XLOOKUP('1'!$F13,INDIRECT("'FinanseML.xlsx'!expenses_"&amp;$A$2&amp;"[Category]"),INDIRECT("'FinanseML.xlsx'!expenses_"&amp;$A$2&amp;"[Total]"),0,0,1)</f>
        <v>#REF!</v>
      </c>
      <c r="I13" s="12" t="e">
        <f ca="1">'1'!$G13-'1'!$H13</f>
        <v>#REF!</v>
      </c>
      <c r="J13" s="7"/>
      <c r="K13" s="51" t="s">
        <v>10</v>
      </c>
      <c r="L13" s="33">
        <f t="shared" ref="L13:L18" ca="1" si="1">DATE(2025,$A$2,10)</f>
        <v>45667</v>
      </c>
      <c r="M13" s="13">
        <v>1500</v>
      </c>
      <c r="N13" s="13"/>
      <c r="O13" s="13"/>
      <c r="P13" s="7"/>
      <c r="Q13" s="57" t="s">
        <v>1</v>
      </c>
      <c r="R13" s="35">
        <f t="shared" ref="R13:R17" ca="1" si="2">DATE(2025,$A$2,RANDBETWEEN(1,28))</f>
        <v>45663</v>
      </c>
      <c r="S13" s="14">
        <v>12.99</v>
      </c>
      <c r="T13" s="14"/>
      <c r="U13" s="14"/>
      <c r="V13" s="7"/>
      <c r="W13" s="67" t="s">
        <v>17</v>
      </c>
      <c r="X13" s="15">
        <v>500</v>
      </c>
      <c r="Y13" s="15"/>
      <c r="Z13" s="15">
        <f>savings_1[[#This Row],[Planned]]-savings_1[[#This Row],[Actual]]</f>
        <v>500</v>
      </c>
    </row>
    <row r="14" spans="1:26" ht="27" x14ac:dyDescent="0.5">
      <c r="A14" s="37" t="s">
        <v>37</v>
      </c>
      <c r="B14" s="11">
        <v>300</v>
      </c>
      <c r="C14" s="11" t="e" cm="1">
        <f t="array" aca="1" ref="C14" ca="1">_xlfn.XLOOKUP('1'!$A14,INDIRECT("'FinanseML.xlsx'!incomes_"&amp;$A$2&amp;"[Category]"),INDIRECT("'FinanseML.xlsx'!incomes_"&amp;$A$2&amp;"[Total]"),0,0,1)</f>
        <v>#REF!</v>
      </c>
      <c r="D14" s="11" t="e">
        <f ca="1">'1'!$B14-'1'!$C14</f>
        <v>#REF!</v>
      </c>
      <c r="E14" s="5"/>
      <c r="F14" s="43" t="s">
        <v>26</v>
      </c>
      <c r="G14" s="12">
        <v>200</v>
      </c>
      <c r="H14" s="12" t="e" cm="1">
        <f t="array" aca="1" ref="H14" ca="1">-_xlfn.XLOOKUP('1'!$F14,INDIRECT("'FinanseML.xlsx'!expenses_"&amp;$A$2&amp;"[Category]"),INDIRECT("'FinanseML.xlsx'!expenses_"&amp;$A$2&amp;"[Total]"),0,0,1)</f>
        <v>#REF!</v>
      </c>
      <c r="I14" s="12" t="e">
        <f ca="1">'1'!$G14-'1'!$H14</f>
        <v>#REF!</v>
      </c>
      <c r="J14" s="7"/>
      <c r="K14" s="51" t="s">
        <v>13</v>
      </c>
      <c r="L14" s="33">
        <f t="shared" ca="1" si="1"/>
        <v>45667</v>
      </c>
      <c r="M14" s="13">
        <v>80</v>
      </c>
      <c r="N14" s="13"/>
      <c r="O14" s="13"/>
      <c r="P14" s="7"/>
      <c r="Q14" s="57" t="s">
        <v>0</v>
      </c>
      <c r="R14" s="35">
        <f t="shared" ca="1" si="2"/>
        <v>45664</v>
      </c>
      <c r="S14" s="14">
        <v>33</v>
      </c>
      <c r="T14" s="14"/>
      <c r="U14" s="14"/>
      <c r="V14" s="7"/>
      <c r="W14" s="67" t="s">
        <v>18</v>
      </c>
      <c r="X14" s="15">
        <v>800</v>
      </c>
      <c r="Y14" s="15"/>
      <c r="Z14" s="15">
        <f>savings_1[[#This Row],[Planned]]-savings_1[[#This Row],[Actual]]</f>
        <v>800</v>
      </c>
    </row>
    <row r="15" spans="1:26" ht="27" x14ac:dyDescent="0.5">
      <c r="A15" s="37" t="s">
        <v>38</v>
      </c>
      <c r="B15" s="11">
        <v>500</v>
      </c>
      <c r="C15" s="11" t="e" cm="1">
        <f t="array" aca="1" ref="C15" ca="1">_xlfn.XLOOKUP('1'!$A15,INDIRECT("'FinanseML.xlsx'!incomes_"&amp;$A$2&amp;"[Category]"),INDIRECT("'FinanseML.xlsx'!incomes_"&amp;$A$2&amp;"[Total]"),0,0,1)</f>
        <v>#REF!</v>
      </c>
      <c r="D15" s="11" t="e">
        <f ca="1">'1'!$B15-'1'!$C15</f>
        <v>#REF!</v>
      </c>
      <c r="E15" s="5"/>
      <c r="F15" s="43" t="s">
        <v>27</v>
      </c>
      <c r="G15" s="12">
        <v>300</v>
      </c>
      <c r="H15" s="12" t="e" cm="1">
        <f t="array" aca="1" ref="H15" ca="1">-_xlfn.XLOOKUP('1'!$F15,INDIRECT("'FinanseML.xlsx'!expenses_"&amp;$A$2&amp;"[Category]"),INDIRECT("'FinanseML.xlsx'!expenses_"&amp;$A$2&amp;"[Total]"),0,0,1)</f>
        <v>#REF!</v>
      </c>
      <c r="I15" s="12" t="e">
        <f ca="1">'1'!$G15-'1'!$H15</f>
        <v>#REF!</v>
      </c>
      <c r="J15" s="7"/>
      <c r="K15" s="51" t="s">
        <v>11</v>
      </c>
      <c r="L15" s="33">
        <f t="shared" ca="1" si="1"/>
        <v>45667</v>
      </c>
      <c r="M15" s="13">
        <v>35</v>
      </c>
      <c r="N15" s="13"/>
      <c r="O15" s="13"/>
      <c r="P15" s="7"/>
      <c r="Q15" s="57" t="s">
        <v>34</v>
      </c>
      <c r="R15" s="35">
        <f t="shared" ca="1" si="2"/>
        <v>45667</v>
      </c>
      <c r="S15" s="14">
        <v>22.99</v>
      </c>
      <c r="T15" s="14"/>
      <c r="U15" s="14"/>
      <c r="V15" s="7"/>
      <c r="W15" s="67" t="s">
        <v>42</v>
      </c>
      <c r="X15" s="15">
        <v>605</v>
      </c>
      <c r="Y15" s="15"/>
      <c r="Z15" s="15">
        <f>savings_1[[#This Row],[Planned]]-savings_1[[#This Row],[Actual]]</f>
        <v>605</v>
      </c>
    </row>
    <row r="16" spans="1:26" ht="27" x14ac:dyDescent="0.5">
      <c r="A16" s="37" t="s">
        <v>39</v>
      </c>
      <c r="B16" s="11">
        <v>100</v>
      </c>
      <c r="C16" s="11" t="e" cm="1">
        <f t="array" aca="1" ref="C16" ca="1">_xlfn.XLOOKUP('1'!$A16,INDIRECT("'FinanseML.xlsx'!incomes_"&amp;$A$2&amp;"[Category]"),INDIRECT("'FinanseML.xlsx'!incomes_"&amp;$A$2&amp;"[Total]"),0,0,1)</f>
        <v>#REF!</v>
      </c>
      <c r="D16" s="11" t="e">
        <f ca="1">'1'!$B16-'1'!$C16</f>
        <v>#REF!</v>
      </c>
      <c r="E16" s="5"/>
      <c r="F16" s="43" t="s">
        <v>28</v>
      </c>
      <c r="G16" s="12">
        <v>750</v>
      </c>
      <c r="H16" s="12" t="e" cm="1">
        <f t="array" aca="1" ref="H16" ca="1">-_xlfn.XLOOKUP('1'!$F16,INDIRECT("'FinanseML.xlsx'!expenses_"&amp;$A$2&amp;"[Category]"),INDIRECT("'FinanseML.xlsx'!expenses_"&amp;$A$2&amp;"[Total]"),0,0,1)</f>
        <v>#REF!</v>
      </c>
      <c r="I16" s="12" t="e">
        <f ca="1">'1'!$G16-'1'!$H16</f>
        <v>#REF!</v>
      </c>
      <c r="J16" s="7"/>
      <c r="K16" s="51" t="s">
        <v>12</v>
      </c>
      <c r="L16" s="33">
        <f t="shared" ca="1" si="1"/>
        <v>45667</v>
      </c>
      <c r="M16" s="13">
        <v>25</v>
      </c>
      <c r="N16" s="13"/>
      <c r="O16" s="13"/>
      <c r="P16" s="7"/>
      <c r="Q16" s="57" t="s">
        <v>35</v>
      </c>
      <c r="R16" s="35">
        <f t="shared" ca="1" si="2"/>
        <v>45676</v>
      </c>
      <c r="S16" s="14">
        <v>100</v>
      </c>
      <c r="T16" s="14"/>
      <c r="U16" s="14"/>
      <c r="V16" s="7"/>
      <c r="W16" s="67"/>
      <c r="X16" s="15"/>
      <c r="Y16" s="15"/>
      <c r="Z16" s="15">
        <f>savings_1[[#This Row],[Planned]]-savings_1[[#This Row],[Actual]]</f>
        <v>0</v>
      </c>
    </row>
    <row r="17" spans="1:28" ht="27" x14ac:dyDescent="0.5">
      <c r="A17" s="37" t="s">
        <v>40</v>
      </c>
      <c r="B17" s="11">
        <v>1500</v>
      </c>
      <c r="C17" s="11" t="e" cm="1">
        <f t="array" aca="1" ref="C17" ca="1">_xlfn.XLOOKUP('1'!$A17,INDIRECT("'FinanseML.xlsx'!incomes_"&amp;$A$2&amp;"[Category]"),INDIRECT("'FinanseML.xlsx'!incomes_"&amp;$A$2&amp;"[Total]"),0,0,1)</f>
        <v>#REF!</v>
      </c>
      <c r="D17" s="11" t="e">
        <f ca="1">'1'!$B17-'1'!$C17</f>
        <v>#REF!</v>
      </c>
      <c r="E17" s="5"/>
      <c r="F17" s="43" t="s">
        <v>29</v>
      </c>
      <c r="G17" s="12">
        <v>130</v>
      </c>
      <c r="H17" s="12" t="e" cm="1">
        <f t="array" aca="1" ref="H17" ca="1">-_xlfn.XLOOKUP('1'!$F17,INDIRECT("'FinanseML.xlsx'!expenses_"&amp;$A$2&amp;"[Category]"),INDIRECT("'FinanseML.xlsx'!expenses_"&amp;$A$2&amp;"[Total]"),0,0,1)</f>
        <v>#REF!</v>
      </c>
      <c r="I17" s="12" t="e">
        <f ca="1">'1'!$G17-'1'!$H17</f>
        <v>#REF!</v>
      </c>
      <c r="J17" s="7"/>
      <c r="K17" s="51" t="s">
        <v>24</v>
      </c>
      <c r="L17" s="33">
        <f t="shared" ca="1" si="1"/>
        <v>45667</v>
      </c>
      <c r="M17" s="13">
        <v>35</v>
      </c>
      <c r="N17" s="13"/>
      <c r="O17" s="13"/>
      <c r="P17" s="7"/>
      <c r="Q17" s="57" t="s">
        <v>36</v>
      </c>
      <c r="R17" s="35">
        <f t="shared" ca="1" si="2"/>
        <v>45665</v>
      </c>
      <c r="S17" s="14">
        <v>42.69</v>
      </c>
      <c r="T17" s="14"/>
      <c r="U17" s="14"/>
      <c r="V17" s="7"/>
      <c r="W17" s="67"/>
      <c r="X17" s="15"/>
      <c r="Y17" s="15"/>
      <c r="Z17" s="15">
        <f>savings_1[[#This Row],[Planned]]-savings_1[[#This Row],[Actual]]</f>
        <v>0</v>
      </c>
    </row>
    <row r="18" spans="1:28" ht="27" x14ac:dyDescent="0.5">
      <c r="A18" s="37" t="s">
        <v>6</v>
      </c>
      <c r="B18" s="11">
        <v>800</v>
      </c>
      <c r="C18" s="11" t="e" cm="1">
        <f t="array" aca="1" ref="C18" ca="1">_xlfn.XLOOKUP('1'!$A18,INDIRECT("'FinanseML.xlsx'!incomes_"&amp;$A$2&amp;"[Category]"),INDIRECT("'FinanseML.xlsx'!incomes_"&amp;$A$2&amp;"[Total]"),0,0,1)</f>
        <v>#REF!</v>
      </c>
      <c r="D18" s="11" t="e">
        <f ca="1">'1'!$B18-'1'!$C18</f>
        <v>#REF!</v>
      </c>
      <c r="E18" s="5"/>
      <c r="F18" s="43" t="s">
        <v>30</v>
      </c>
      <c r="G18" s="12">
        <v>130</v>
      </c>
      <c r="H18" s="12" t="e" cm="1">
        <f t="array" aca="1" ref="H18" ca="1">-_xlfn.XLOOKUP('1'!$F18,INDIRECT("'FinanseML.xlsx'!expenses_"&amp;$A$2&amp;"[Category]"),INDIRECT("'FinanseML.xlsx'!expenses_"&amp;$A$2&amp;"[Total]"),0,0,1)</f>
        <v>#REF!</v>
      </c>
      <c r="I18" s="12" t="e">
        <f ca="1">'1'!$G18-'1'!$H18</f>
        <v>#REF!</v>
      </c>
      <c r="J18" s="7"/>
      <c r="K18" s="51" t="s">
        <v>14</v>
      </c>
      <c r="L18" s="33">
        <f t="shared" ca="1" si="1"/>
        <v>45667</v>
      </c>
      <c r="M18" s="13">
        <v>60</v>
      </c>
      <c r="N18" s="13"/>
      <c r="O18" s="13"/>
      <c r="P18" s="7"/>
      <c r="Q18" s="57"/>
      <c r="R18" s="36"/>
      <c r="S18" s="14"/>
      <c r="T18" s="14"/>
      <c r="U18" s="14"/>
      <c r="V18" s="7"/>
      <c r="W18" s="67"/>
      <c r="X18" s="15"/>
      <c r="Y18" s="15"/>
      <c r="Z18" s="15">
        <f>savings_1[[#This Row],[Planned]]-savings_1[[#This Row],[Actual]]</f>
        <v>0</v>
      </c>
      <c r="AB18" s="2"/>
    </row>
    <row r="19" spans="1:28" ht="27" x14ac:dyDescent="0.5">
      <c r="A19" s="37"/>
      <c r="B19" s="11"/>
      <c r="C19" s="11" t="e" cm="1">
        <f t="array" aca="1" ref="C19" ca="1">_xlfn.XLOOKUP('1'!$A19,INDIRECT("'FinanseML.xlsx'!incomes_"&amp;$A$2&amp;"[Category]"),INDIRECT("'FinanseML.xlsx'!incomes_"&amp;$A$2&amp;"[Total]"),0,0,1)</f>
        <v>#REF!</v>
      </c>
      <c r="D19" s="11" t="e">
        <f ca="1">'1'!$B19-'1'!$C19</f>
        <v>#REF!</v>
      </c>
      <c r="E19" s="5"/>
      <c r="F19" s="43" t="s">
        <v>31</v>
      </c>
      <c r="G19" s="12">
        <v>200</v>
      </c>
      <c r="H19" s="12" t="e" cm="1">
        <f t="array" aca="1" ref="H19" ca="1">-_xlfn.XLOOKUP('1'!$F19,INDIRECT("'FinanseML.xlsx'!expenses_"&amp;$A$2&amp;"[Category]"),INDIRECT("'FinanseML.xlsx'!expenses_"&amp;$A$2&amp;"[Total]"),0,0,1)</f>
        <v>#REF!</v>
      </c>
      <c r="I19" s="12" t="e">
        <f ca="1">'1'!$G19-'1'!$H19</f>
        <v>#REF!</v>
      </c>
      <c r="J19" s="7"/>
      <c r="K19" s="51"/>
      <c r="L19" s="34"/>
      <c r="M19" s="13"/>
      <c r="N19" s="13"/>
      <c r="O19" s="13"/>
      <c r="P19" s="7"/>
      <c r="Q19" s="57"/>
      <c r="R19" s="36"/>
      <c r="S19" s="14"/>
      <c r="T19" s="14"/>
      <c r="U19" s="14"/>
      <c r="V19" s="7"/>
      <c r="W19" s="67"/>
      <c r="X19" s="15"/>
      <c r="Y19" s="15"/>
      <c r="Z19" s="15">
        <f>savings_1[[#This Row],[Planned]]-savings_1[[#This Row],[Actual]]</f>
        <v>0</v>
      </c>
    </row>
    <row r="20" spans="1:28" ht="27" x14ac:dyDescent="0.5">
      <c r="A20" s="37"/>
      <c r="B20" s="11"/>
      <c r="C20" s="11" t="e" cm="1">
        <f t="array" aca="1" ref="C20" ca="1">_xlfn.XLOOKUP('1'!$A20,INDIRECT("'FinanseML.xlsx'!incomes_"&amp;$A$2&amp;"[Category]"),INDIRECT("'FinanseML.xlsx'!incomes_"&amp;$A$2&amp;"[Total]"),0,0,1)</f>
        <v>#REF!</v>
      </c>
      <c r="D20" s="11" t="e">
        <f ca="1">'1'!$B20-'1'!$C20</f>
        <v>#REF!</v>
      </c>
      <c r="E20" s="5"/>
      <c r="F20" s="43" t="s">
        <v>32</v>
      </c>
      <c r="G20" s="12">
        <v>200</v>
      </c>
      <c r="H20" s="12" t="e" cm="1">
        <f t="array" aca="1" ref="H20" ca="1">-_xlfn.XLOOKUP('1'!$F20,INDIRECT("'FinanseML.xlsx'!expenses_"&amp;$A$2&amp;"[Category]"),INDIRECT("'FinanseML.xlsx'!expenses_"&amp;$A$2&amp;"[Total]"),0,0,1)</f>
        <v>#REF!</v>
      </c>
      <c r="I20" s="12" t="e">
        <f ca="1">'1'!$G20-'1'!$H20</f>
        <v>#REF!</v>
      </c>
      <c r="J20" s="7"/>
      <c r="K20" s="51"/>
      <c r="L20" s="34"/>
      <c r="M20" s="13"/>
      <c r="N20" s="13"/>
      <c r="O20" s="13"/>
      <c r="P20" s="7"/>
      <c r="Q20" s="57"/>
      <c r="R20" s="36"/>
      <c r="S20" s="14"/>
      <c r="T20" s="14"/>
      <c r="U20" s="14"/>
      <c r="V20" s="7"/>
      <c r="W20" s="67"/>
      <c r="X20" s="15"/>
      <c r="Y20" s="15"/>
      <c r="Z20" s="15">
        <f>savings_1[[#This Row],[Planned]]-savings_1[[#This Row],[Actual]]</f>
        <v>0</v>
      </c>
      <c r="AB20" s="1"/>
    </row>
    <row r="21" spans="1:28" ht="27" x14ac:dyDescent="0.5">
      <c r="A21" s="37"/>
      <c r="B21" s="11"/>
      <c r="C21" s="11" t="e" cm="1">
        <f t="array" aca="1" ref="C21" ca="1">_xlfn.XLOOKUP('1'!$A21,INDIRECT("'FinanseML.xlsx'!incomes_"&amp;$A$2&amp;"[Category]"),INDIRECT("'FinanseML.xlsx'!incomes_"&amp;$A$2&amp;"[Total]"),0,0,1)</f>
        <v>#REF!</v>
      </c>
      <c r="D21" s="11" t="e">
        <f ca="1">'1'!$B21-'1'!$C21</f>
        <v>#REF!</v>
      </c>
      <c r="E21" s="5"/>
      <c r="F21" s="43" t="s">
        <v>33</v>
      </c>
      <c r="G21" s="12">
        <v>150</v>
      </c>
      <c r="H21" s="12" t="e" cm="1">
        <f t="array" aca="1" ref="H21" ca="1">-_xlfn.XLOOKUP('1'!$F21,INDIRECT("'FinanseML.xlsx'!expenses_"&amp;$A$2&amp;"[Category]"),INDIRECT("'FinanseML.xlsx'!expenses_"&amp;$A$2&amp;"[Total]"),0,0,1)</f>
        <v>#REF!</v>
      </c>
      <c r="I21" s="12" t="e">
        <f ca="1">'1'!$G21-'1'!$H21</f>
        <v>#REF!</v>
      </c>
      <c r="J21" s="7"/>
      <c r="K21" s="51"/>
      <c r="L21" s="34"/>
      <c r="M21" s="13"/>
      <c r="N21" s="13"/>
      <c r="O21" s="13"/>
      <c r="P21" s="7"/>
      <c r="Q21" s="57"/>
      <c r="R21" s="36"/>
      <c r="S21" s="14"/>
      <c r="T21" s="14"/>
      <c r="U21" s="14"/>
      <c r="V21" s="7"/>
      <c r="W21" s="67"/>
      <c r="X21" s="15"/>
      <c r="Y21" s="15"/>
      <c r="Z21" s="15">
        <f>savings_1[[#This Row],[Planned]]-savings_1[[#This Row],[Actual]]</f>
        <v>0</v>
      </c>
    </row>
    <row r="22" spans="1:28" ht="27" x14ac:dyDescent="0.5">
      <c r="A22" s="37"/>
      <c r="B22" s="11"/>
      <c r="C22" s="11" t="e" cm="1">
        <f t="array" aca="1" ref="C22" ca="1">_xlfn.XLOOKUP('1'!$A22,INDIRECT("'FinanseML.xlsx'!incomes_"&amp;$A$2&amp;"[Category]"),INDIRECT("'FinanseML.xlsx'!incomes_"&amp;$A$2&amp;"[Total]"),0,0,1)</f>
        <v>#REF!</v>
      </c>
      <c r="D22" s="11" t="e">
        <f ca="1">'1'!$B22-'1'!$C22</f>
        <v>#REF!</v>
      </c>
      <c r="E22" s="5"/>
      <c r="F22" s="43"/>
      <c r="G22" s="12"/>
      <c r="H22" s="12"/>
      <c r="I22" s="12">
        <f>'1'!$G22-'1'!$H22</f>
        <v>0</v>
      </c>
      <c r="J22" s="7"/>
      <c r="K22" s="51"/>
      <c r="L22" s="34"/>
      <c r="M22" s="13"/>
      <c r="N22" s="13"/>
      <c r="O22" s="13"/>
      <c r="P22" s="7"/>
      <c r="Q22" s="57"/>
      <c r="R22" s="36"/>
      <c r="S22" s="14"/>
      <c r="T22" s="14"/>
      <c r="U22" s="14"/>
      <c r="V22" s="7"/>
      <c r="W22" s="67"/>
      <c r="X22" s="15"/>
      <c r="Y22" s="15"/>
      <c r="Z22" s="15">
        <f>savings_1[[#This Row],[Planned]]-savings_1[[#This Row],[Actual]]</f>
        <v>0</v>
      </c>
    </row>
    <row r="23" spans="1:28" ht="27" x14ac:dyDescent="0.5">
      <c r="A23" s="37"/>
      <c r="B23" s="11"/>
      <c r="C23" s="11" t="e" cm="1">
        <f t="array" aca="1" ref="C23" ca="1">_xlfn.XLOOKUP('1'!$A23,INDIRECT("'FinanseML.xlsx'!incomes_"&amp;$A$2&amp;"[Category]"),INDIRECT("'FinanseML.xlsx'!incomes_"&amp;$A$2&amp;"[Total]"),0,0,1)</f>
        <v>#REF!</v>
      </c>
      <c r="D23" s="11" t="e">
        <f ca="1">'1'!$B23-'1'!$C23</f>
        <v>#REF!</v>
      </c>
      <c r="E23" s="5"/>
      <c r="F23" s="43"/>
      <c r="G23" s="12"/>
      <c r="H23" s="12"/>
      <c r="I23" s="12">
        <f>'1'!$G23-'1'!$H23</f>
        <v>0</v>
      </c>
      <c r="J23" s="7"/>
      <c r="K23" s="51"/>
      <c r="L23" s="34"/>
      <c r="M23" s="13"/>
      <c r="N23" s="13"/>
      <c r="O23" s="13"/>
      <c r="P23" s="7"/>
      <c r="Q23" s="57"/>
      <c r="R23" s="36"/>
      <c r="S23" s="14"/>
      <c r="T23" s="14"/>
      <c r="U23" s="14"/>
      <c r="V23" s="7"/>
      <c r="W23" s="67"/>
      <c r="X23" s="15"/>
      <c r="Y23" s="15"/>
      <c r="Z23" s="15">
        <f>savings_1[[#This Row],[Planned]]-savings_1[[#This Row],[Actual]]</f>
        <v>0</v>
      </c>
    </row>
    <row r="24" spans="1:28" ht="27" x14ac:dyDescent="0.5">
      <c r="A24" s="40"/>
      <c r="B24" s="10"/>
      <c r="C24" s="10" t="e" cm="1">
        <f t="array" aca="1" ref="C24" ca="1">_xlfn.XLOOKUP('1'!$A24,INDIRECT("'FinanseML.xlsx'!incomes_"&amp;$A$2&amp;"[Category]"),INDIRECT("'FinanseML.xlsx'!incomes_"&amp;$A$2&amp;"[Total]"),0,0,1)</f>
        <v>#REF!</v>
      </c>
      <c r="D24" s="10" t="e">
        <f ca="1">'1'!$B24-'1'!$C24</f>
        <v>#REF!</v>
      </c>
      <c r="E24" s="5"/>
      <c r="F24" s="43"/>
      <c r="G24" s="12"/>
      <c r="H24" s="12"/>
      <c r="I24" s="12">
        <f>'1'!$G24-'1'!$H24</f>
        <v>0</v>
      </c>
      <c r="J24" s="7"/>
      <c r="K24" s="51"/>
      <c r="L24" s="34"/>
      <c r="M24" s="13"/>
      <c r="N24" s="13"/>
      <c r="O24" s="13"/>
      <c r="P24" s="7"/>
      <c r="Q24" s="57"/>
      <c r="R24" s="36"/>
      <c r="S24" s="14"/>
      <c r="T24" s="14"/>
      <c r="U24" s="14"/>
      <c r="V24" s="7"/>
      <c r="W24" s="67"/>
      <c r="X24" s="15"/>
      <c r="Y24" s="15"/>
      <c r="Z24" s="15">
        <f>savings_1[[#This Row],[Planned]]-savings_1[[#This Row],[Actual]]</f>
        <v>0</v>
      </c>
    </row>
    <row r="25" spans="1:28" ht="27" x14ac:dyDescent="0.5">
      <c r="A25" s="41" t="s">
        <v>20</v>
      </c>
      <c r="B25" s="32">
        <f>SUBTOTAL(109,incomes_1[Planned])</f>
        <v>5700</v>
      </c>
      <c r="C25" s="32" t="e">
        <f ca="1">SUBTOTAL(109,incomes_1[Actual])</f>
        <v>#REF!</v>
      </c>
      <c r="D25" s="32" t="e">
        <f ca="1">SUBTOTAL(109,incomes_1[Left])</f>
        <v>#REF!</v>
      </c>
      <c r="E25" s="5"/>
      <c r="F25" s="49" t="s">
        <v>20</v>
      </c>
      <c r="G25" s="50">
        <f>SUBTOTAL(109,expenses_1[Planned])</f>
        <v>3795</v>
      </c>
      <c r="H25" s="50" t="e">
        <f ca="1">SUBTOTAL(109,expenses_1[Actual])</f>
        <v>#REF!</v>
      </c>
      <c r="I25" s="50" t="e">
        <f ca="1">SUBTOTAL(109,expenses_1[Left])</f>
        <v>#REF!</v>
      </c>
      <c r="J25" s="7"/>
      <c r="K25" s="54" t="s">
        <v>20</v>
      </c>
      <c r="L25" s="55"/>
      <c r="M25" s="56">
        <f>SUBTOTAL(109,bills_1[Planned])</f>
        <v>1735</v>
      </c>
      <c r="N25" s="56">
        <f>SUBTOTAL(109,bills_1[Actual])</f>
        <v>0</v>
      </c>
      <c r="O25" s="56">
        <f>SUBTOTAL(109,bills_1[Left])</f>
        <v>0</v>
      </c>
      <c r="P25" s="7"/>
      <c r="Q25" s="64" t="s">
        <v>20</v>
      </c>
      <c r="R25" s="65"/>
      <c r="S25" s="66"/>
      <c r="T25" s="66"/>
      <c r="U25" s="66">
        <f>SUBTOTAL(103,subscriptions_1[Left])</f>
        <v>0</v>
      </c>
      <c r="V25" s="7"/>
      <c r="W25" s="73" t="s">
        <v>20</v>
      </c>
      <c r="X25" s="74"/>
      <c r="Y25" s="74"/>
      <c r="Z25" s="74">
        <f>SUBTOTAL(103,savings_1[Left])</f>
        <v>12</v>
      </c>
      <c r="AB25" s="2"/>
    </row>
    <row r="26" spans="1:28" ht="23.25" x14ac:dyDescent="0.35">
      <c r="A26" s="42" t="s">
        <v>20</v>
      </c>
      <c r="B26" s="32">
        <f>SUBTOTAL(109,'1'!$B$13:$B$24)</f>
        <v>5700</v>
      </c>
      <c r="C26" s="32" t="e">
        <f ca="1">SUBTOTAL(109,'1'!$C$13:$C$24)</f>
        <v>#REF!</v>
      </c>
      <c r="D26" s="32" t="e">
        <f ca="1">SUBTOTAL(109,'1'!$D$13:$D$24)</f>
        <v>#REF!</v>
      </c>
      <c r="F26" s="46" t="s">
        <v>20</v>
      </c>
      <c r="G26" s="47">
        <f>SUBTOTAL(109,'1'!$G$13:$G$24)</f>
        <v>3795</v>
      </c>
      <c r="H26" s="47" t="e">
        <f ca="1">SUBTOTAL(109,'1'!$H$13:$H$24)</f>
        <v>#REF!</v>
      </c>
      <c r="I26" s="48" t="e">
        <f ca="1">SUBTOTAL(109,'1'!$I$13:$I$24)</f>
        <v>#REF!</v>
      </c>
      <c r="K26" s="75" t="s">
        <v>20</v>
      </c>
      <c r="L26" s="76"/>
      <c r="M26" s="76">
        <f>SUBTOTAL(109,'1'!$M$13:$M$24)</f>
        <v>1735</v>
      </c>
      <c r="N26" s="76">
        <f>SUBTOTAL(109,'1'!$N$13:$N$24)</f>
        <v>0</v>
      </c>
      <c r="O26" s="77">
        <f>SUBTOTAL(109,'1'!$O$13:$O$24)</f>
        <v>0</v>
      </c>
      <c r="Q26" s="61" t="s">
        <v>20</v>
      </c>
      <c r="R26" s="62"/>
      <c r="S26" s="62">
        <f>SUBTOTAL(109,'1'!$S$13:$S$24)</f>
        <v>211.67000000000002</v>
      </c>
      <c r="T26" s="62">
        <f>SUBTOTAL(109,'1'!$T$13:$T$24)</f>
        <v>0</v>
      </c>
      <c r="U26" s="63">
        <f>SUBTOTAL(109,'1'!$U$13:$U$24)</f>
        <v>0</v>
      </c>
      <c r="W26" s="70" t="s">
        <v>20</v>
      </c>
      <c r="X26" s="71">
        <f>SUBTOTAL(109,'1'!$X$13:$X$24)</f>
        <v>1905</v>
      </c>
      <c r="Y26" s="71">
        <f>SUBTOTAL(109,'1'!$Y$13:$Y$24)</f>
        <v>0</v>
      </c>
      <c r="Z26" s="72">
        <f>SUBTOTAL(109,'1'!$Z$13:$Z$24)</f>
        <v>1905</v>
      </c>
    </row>
    <row r="28" spans="1:28" ht="15.75" x14ac:dyDescent="0.25">
      <c r="W28" s="1"/>
    </row>
    <row r="32" spans="1:28" x14ac:dyDescent="0.25">
      <c r="W32" s="2"/>
    </row>
    <row r="34" spans="23:23" ht="15.75" x14ac:dyDescent="0.25">
      <c r="W34" s="1"/>
    </row>
  </sheetData>
  <mergeCells count="7">
    <mergeCell ref="Q11:T11"/>
    <mergeCell ref="W11:Y11"/>
    <mergeCell ref="A1:C1"/>
    <mergeCell ref="A2:C2"/>
    <mergeCell ref="A11:C11"/>
    <mergeCell ref="F11:H11"/>
    <mergeCell ref="K11:N11"/>
  </mergeCells>
  <pageMargins left="0.75" right="0.75" top="1" bottom="1" header="0.5" footer="0.5"/>
  <pageSetup paperSize="9"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2BCA64C63788348B8D832B7408CC3F9" ma:contentTypeVersion="4" ma:contentTypeDescription="Utwórz nowy dokument." ma:contentTypeScope="" ma:versionID="db6a054259bbba57ddb8e19109a35fa2">
  <xsd:schema xmlns:xsd="http://www.w3.org/2001/XMLSchema" xmlns:xs="http://www.w3.org/2001/XMLSchema" xmlns:p="http://schemas.microsoft.com/office/2006/metadata/properties" xmlns:ns3="b2b43014-85e2-4f2a-bafd-4824dc66c650" targetNamespace="http://schemas.microsoft.com/office/2006/metadata/properties" ma:root="true" ma:fieldsID="c58e98e03fa8481c75071dca41af6185" ns3:_="">
    <xsd:import namespace="b2b43014-85e2-4f2a-bafd-4824dc66c65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43014-85e2-4f2a-bafd-4824dc66c65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539027-57CF-41AC-B575-A2AF27FAB1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b43014-85e2-4f2a-bafd-4824dc66c6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4DFCEB-141D-4698-9848-34668644F8AB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b2b43014-85e2-4f2a-bafd-4824dc66c650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59A504F-CCA6-42DA-BC6B-A851D8D724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Michal Leśniak</cp:lastModifiedBy>
  <dcterms:created xsi:type="dcterms:W3CDTF">2025-10-31T09:12:24Z</dcterms:created>
  <dcterms:modified xsi:type="dcterms:W3CDTF">2025-12-19T09:41:41Z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0x01010022BCA64C63788348B8D832B7408CC3F9</vt:lpwstr>
  </property>
</Properties>
</file>